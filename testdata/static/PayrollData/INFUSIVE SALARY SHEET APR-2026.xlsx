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ekinspirations\HRlens_Playwright\testdata\static\PayrollData\"/>
    </mc:Choice>
  </mc:AlternateContent>
  <bookViews>
    <workbookView xWindow="-120" yWindow="-120" windowWidth="20736" windowHeight="11160"/>
  </bookViews>
  <sheets>
    <sheet name="AGRA" sheetId="2" r:id="rId1"/>
    <sheet name="JAIPUR BRANCH" sheetId="6" r:id="rId2"/>
    <sheet name="NOIDA BRANCH" sheetId="10" r:id="rId3"/>
  </sheets>
  <definedNames>
    <definedName name="_xlnm._FilterDatabase" localSheetId="0" hidden="1">AGRA!$A$6:$AL$6</definedName>
    <definedName name="_xlnm._FilterDatabase" localSheetId="1" hidden="1">'JAIPUR BRANCH'!$A$6:$AU$6</definedName>
    <definedName name="_xlnm._FilterDatabase" localSheetId="2" hidden="1">'NOIDA BRANCH'!$A$6:$AS$6</definedName>
    <definedName name="_xlnm.Print_Area" localSheetId="0">AGRA!$A$1:$AC$15</definedName>
    <definedName name="_xlnm.Print_Area" localSheetId="1">'JAIPUR BRANCH'!$A$1:$AK$7</definedName>
    <definedName name="_xlnm.Print_Area" localSheetId="2">'NOIDA BRANCH'!$A$1:$AK$6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9" i="2" l="1"/>
  <c r="Z59" i="2"/>
  <c r="V28" i="10"/>
  <c r="AB28" i="10" s="1"/>
  <c r="U28" i="10"/>
  <c r="AA28" i="10" s="1"/>
  <c r="V27" i="10"/>
  <c r="U27" i="10"/>
  <c r="AA27" i="10" s="1"/>
  <c r="V23" i="10"/>
  <c r="U23" i="10"/>
  <c r="V21" i="10"/>
  <c r="U21" i="10"/>
  <c r="V20" i="10"/>
  <c r="U20" i="10"/>
  <c r="V19" i="10"/>
  <c r="U19" i="10"/>
  <c r="V10" i="10"/>
  <c r="U10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8" i="10"/>
  <c r="AD30" i="10"/>
  <c r="AC30" i="10"/>
  <c r="AB30" i="10"/>
  <c r="AA30" i="10"/>
  <c r="AD29" i="10"/>
  <c r="AC29" i="10"/>
  <c r="AB29" i="10"/>
  <c r="AA29" i="10"/>
  <c r="AD28" i="10"/>
  <c r="AC28" i="10"/>
  <c r="AD27" i="10"/>
  <c r="AC27" i="10"/>
  <c r="AB27" i="10"/>
  <c r="AF29" i="10"/>
  <c r="AF28" i="10"/>
  <c r="Y30" i="10"/>
  <c r="Z30" i="10" s="1"/>
  <c r="Y29" i="10"/>
  <c r="Z29" i="10" s="1"/>
  <c r="Y28" i="10" l="1"/>
  <c r="Z28" i="10" s="1"/>
  <c r="AF27" i="10"/>
  <c r="Y27" i="10"/>
  <c r="Z27" i="10" s="1"/>
  <c r="AE29" i="10"/>
  <c r="AG29" i="10" s="1"/>
  <c r="AE27" i="10"/>
  <c r="AG27" i="10" s="1"/>
  <c r="AE30" i="10"/>
  <c r="AG30" i="10" s="1"/>
  <c r="AJ30" i="10" s="1"/>
  <c r="AK30" i="10" s="1"/>
  <c r="AE28" i="10"/>
  <c r="AG28" i="10" s="1"/>
  <c r="AJ28" i="10" s="1"/>
  <c r="AK28" i="10" s="1"/>
  <c r="AJ29" i="10"/>
  <c r="AK29" i="10" s="1"/>
  <c r="AJ27" i="10" l="1"/>
  <c r="AK27" i="10" s="1"/>
  <c r="N20" i="2" l="1"/>
  <c r="N16" i="2" l="1"/>
  <c r="N29" i="2"/>
  <c r="N28" i="2"/>
  <c r="N24" i="2"/>
  <c r="O12" i="2"/>
  <c r="N9" i="2"/>
  <c r="O9" i="2"/>
  <c r="N7" i="2"/>
  <c r="O7" i="2"/>
  <c r="AF56" i="2" l="1"/>
  <c r="AF55" i="2"/>
  <c r="AF54" i="2"/>
  <c r="AF53" i="2"/>
  <c r="AF52" i="2"/>
  <c r="AF51" i="2"/>
  <c r="AF50" i="2"/>
  <c r="X56" i="2" l="1"/>
  <c r="V56" i="2"/>
  <c r="U56" i="2"/>
  <c r="T56" i="2"/>
  <c r="S56" i="2"/>
  <c r="Q56" i="2"/>
  <c r="R56" i="2" s="1"/>
  <c r="X55" i="2"/>
  <c r="V55" i="2"/>
  <c r="U55" i="2"/>
  <c r="T55" i="2"/>
  <c r="S55" i="2"/>
  <c r="Q55" i="2"/>
  <c r="R55" i="2" s="1"/>
  <c r="V54" i="2"/>
  <c r="U54" i="2"/>
  <c r="T54" i="2"/>
  <c r="S54" i="2"/>
  <c r="X54" i="2" s="1"/>
  <c r="Q54" i="2"/>
  <c r="R54" i="2" s="1"/>
  <c r="X53" i="2"/>
  <c r="V53" i="2"/>
  <c r="U53" i="2"/>
  <c r="T53" i="2"/>
  <c r="S53" i="2"/>
  <c r="Q53" i="2"/>
  <c r="R53" i="2" s="1"/>
  <c r="N48" i="2"/>
  <c r="M48" i="2"/>
  <c r="M20" i="2"/>
  <c r="M16" i="2"/>
  <c r="AF25" i="10"/>
  <c r="AF23" i="10"/>
  <c r="AF22" i="10"/>
  <c r="AF21" i="10"/>
  <c r="AF20" i="10"/>
  <c r="AF19" i="10"/>
  <c r="AF18" i="10"/>
  <c r="AF17" i="10"/>
  <c r="AF15" i="10"/>
  <c r="AF14" i="10"/>
  <c r="AF12" i="10"/>
  <c r="AF10" i="10"/>
  <c r="T13" i="10"/>
  <c r="AF13" i="10" s="1"/>
  <c r="T11" i="10"/>
  <c r="AF11" i="10" s="1"/>
  <c r="T9" i="10"/>
  <c r="AF9" i="10" s="1"/>
  <c r="T8" i="10"/>
  <c r="AF8" i="10" s="1"/>
  <c r="AL7" i="10"/>
  <c r="AM7" i="10"/>
  <c r="T7" i="10"/>
  <c r="R7" i="10"/>
  <c r="Q7" i="10"/>
  <c r="AB53" i="2" l="1"/>
  <c r="AB56" i="2"/>
  <c r="W56" i="2"/>
  <c r="W53" i="2"/>
  <c r="W55" i="2"/>
  <c r="W54" i="2"/>
  <c r="Y8" i="10"/>
  <c r="Z8" i="10" s="1"/>
  <c r="AA8" i="10"/>
  <c r="AB8" i="10"/>
  <c r="AC8" i="10"/>
  <c r="AD8" i="10"/>
  <c r="AB55" i="2" l="1"/>
  <c r="AC55" i="2" s="1"/>
  <c r="Y54" i="2"/>
  <c r="AB54" i="2" s="1"/>
  <c r="AC54" i="2" s="1"/>
  <c r="AC56" i="2"/>
  <c r="AC53" i="2"/>
  <c r="AE8" i="10"/>
  <c r="AG8" i="10" s="1"/>
  <c r="AJ8" i="10" s="1"/>
  <c r="AK8" i="10" s="1"/>
  <c r="AD23" i="10" l="1"/>
  <c r="AC23" i="10"/>
  <c r="AB23" i="10"/>
  <c r="AA23" i="10"/>
  <c r="Y23" i="10"/>
  <c r="Z23" i="10" s="1"/>
  <c r="AD22" i="10"/>
  <c r="AC22" i="10"/>
  <c r="AB22" i="10"/>
  <c r="AA22" i="10"/>
  <c r="Y22" i="10"/>
  <c r="Z22" i="10" s="1"/>
  <c r="AD21" i="10"/>
  <c r="AC21" i="10"/>
  <c r="AB21" i="10"/>
  <c r="AA21" i="10"/>
  <c r="Y21" i="10"/>
  <c r="Z21" i="10" s="1"/>
  <c r="AD20" i="10"/>
  <c r="AC20" i="10"/>
  <c r="AB20" i="10"/>
  <c r="AA20" i="10"/>
  <c r="Y20" i="10"/>
  <c r="Z20" i="10" s="1"/>
  <c r="AD19" i="10"/>
  <c r="AC19" i="10"/>
  <c r="AB19" i="10"/>
  <c r="AA19" i="10"/>
  <c r="Y19" i="10"/>
  <c r="Z19" i="10" s="1"/>
  <c r="AD18" i="10"/>
  <c r="AC18" i="10"/>
  <c r="AB18" i="10"/>
  <c r="AA18" i="10"/>
  <c r="Y18" i="10"/>
  <c r="Z18" i="10" s="1"/>
  <c r="AD17" i="10"/>
  <c r="AC17" i="10"/>
  <c r="AB17" i="10"/>
  <c r="AA17" i="10"/>
  <c r="Y17" i="10"/>
  <c r="Z17" i="10" s="1"/>
  <c r="AD15" i="10"/>
  <c r="AC15" i="10"/>
  <c r="AB15" i="10"/>
  <c r="AA15" i="10"/>
  <c r="Y15" i="10"/>
  <c r="Z15" i="10" s="1"/>
  <c r="AD14" i="10"/>
  <c r="AC14" i="10"/>
  <c r="AB14" i="10"/>
  <c r="AA14" i="10"/>
  <c r="Y14" i="10"/>
  <c r="Z14" i="10" s="1"/>
  <c r="AD13" i="10"/>
  <c r="AC13" i="10"/>
  <c r="AB13" i="10"/>
  <c r="AA13" i="10"/>
  <c r="Y13" i="10"/>
  <c r="Z13" i="10" s="1"/>
  <c r="AD12" i="10"/>
  <c r="AC12" i="10"/>
  <c r="AB12" i="10"/>
  <c r="AA12" i="10"/>
  <c r="Y12" i="10"/>
  <c r="Z12" i="10" s="1"/>
  <c r="AD11" i="10"/>
  <c r="AC11" i="10"/>
  <c r="AB11" i="10"/>
  <c r="AA11" i="10"/>
  <c r="Y11" i="10"/>
  <c r="Z11" i="10" s="1"/>
  <c r="AD10" i="10"/>
  <c r="AC10" i="10"/>
  <c r="AB10" i="10"/>
  <c r="AA10" i="10"/>
  <c r="Y10" i="10"/>
  <c r="Z10" i="10" s="1"/>
  <c r="AD9" i="10"/>
  <c r="AC9" i="10"/>
  <c r="AB9" i="10"/>
  <c r="AA9" i="10"/>
  <c r="Y9" i="10"/>
  <c r="Z9" i="10" s="1"/>
  <c r="AI32" i="10"/>
  <c r="AH32" i="10"/>
  <c r="AA7" i="10"/>
  <c r="Y7" i="10"/>
  <c r="Z7" i="10" s="1"/>
  <c r="AC7" i="10"/>
  <c r="AA16" i="10"/>
  <c r="AF16" i="10" s="1"/>
  <c r="Y16" i="10"/>
  <c r="Z16" i="10" s="1"/>
  <c r="AC16" i="10"/>
  <c r="AD26" i="10"/>
  <c r="AC26" i="10"/>
  <c r="AB26" i="10"/>
  <c r="AA26" i="10"/>
  <c r="Y26" i="10"/>
  <c r="Z26" i="10" s="1"/>
  <c r="AD25" i="10"/>
  <c r="AC25" i="10"/>
  <c r="AB25" i="10"/>
  <c r="AA25" i="10"/>
  <c r="Y25" i="10"/>
  <c r="Z25" i="10" s="1"/>
  <c r="AD24" i="10"/>
  <c r="AC24" i="10"/>
  <c r="AB24" i="10"/>
  <c r="AA24" i="10"/>
  <c r="Y24" i="10"/>
  <c r="Z24" i="10" s="1"/>
  <c r="AF48" i="2"/>
  <c r="V48" i="2"/>
  <c r="U48" i="2"/>
  <c r="T48" i="2"/>
  <c r="S48" i="2"/>
  <c r="Q48" i="2"/>
  <c r="R48" i="2" s="1"/>
  <c r="AE20" i="2"/>
  <c r="AD20" i="2"/>
  <c r="V20" i="2"/>
  <c r="U20" i="2"/>
  <c r="T20" i="2"/>
  <c r="S20" i="2"/>
  <c r="Q20" i="2"/>
  <c r="R20" i="2" s="1"/>
  <c r="AD16" i="2"/>
  <c r="V16" i="2"/>
  <c r="U16" i="2"/>
  <c r="T16" i="2"/>
  <c r="S16" i="2"/>
  <c r="X16" i="2" s="1"/>
  <c r="Q16" i="2"/>
  <c r="R16" i="2" s="1"/>
  <c r="K25" i="2"/>
  <c r="T20" i="6"/>
  <c r="T18" i="6"/>
  <c r="T17" i="6"/>
  <c r="T15" i="6"/>
  <c r="T14" i="6"/>
  <c r="T13" i="6"/>
  <c r="T12" i="6"/>
  <c r="T11" i="6"/>
  <c r="AL7" i="6"/>
  <c r="AE18" i="10" l="1"/>
  <c r="AG18" i="10" s="1"/>
  <c r="AJ18" i="10" s="1"/>
  <c r="AK18" i="10" s="1"/>
  <c r="AE14" i="10"/>
  <c r="AG14" i="10" s="1"/>
  <c r="AJ14" i="10" s="1"/>
  <c r="AK14" i="10" s="1"/>
  <c r="AE23" i="10"/>
  <c r="AG23" i="10" s="1"/>
  <c r="AJ23" i="10" s="1"/>
  <c r="AK23" i="10" s="1"/>
  <c r="AE9" i="10"/>
  <c r="AG9" i="10" s="1"/>
  <c r="AJ9" i="10" s="1"/>
  <c r="AK9" i="10" s="1"/>
  <c r="AE10" i="10"/>
  <c r="AG10" i="10" s="1"/>
  <c r="AJ10" i="10" s="1"/>
  <c r="AK10" i="10" s="1"/>
  <c r="AE13" i="10"/>
  <c r="AG13" i="10" s="1"/>
  <c r="AJ13" i="10" s="1"/>
  <c r="AK13" i="10" s="1"/>
  <c r="AE19" i="10"/>
  <c r="AG19" i="10" s="1"/>
  <c r="AJ19" i="10" s="1"/>
  <c r="AK19" i="10" s="1"/>
  <c r="AE22" i="10"/>
  <c r="AG22" i="10" s="1"/>
  <c r="AJ22" i="10" s="1"/>
  <c r="AK22" i="10" s="1"/>
  <c r="AE12" i="10"/>
  <c r="AG12" i="10" s="1"/>
  <c r="AJ12" i="10" s="1"/>
  <c r="AK12" i="10" s="1"/>
  <c r="AE15" i="10"/>
  <c r="AG15" i="10" s="1"/>
  <c r="AJ15" i="10" s="1"/>
  <c r="AK15" i="10" s="1"/>
  <c r="AE21" i="10"/>
  <c r="AG21" i="10" s="1"/>
  <c r="AJ21" i="10" s="1"/>
  <c r="AK21" i="10" s="1"/>
  <c r="AE11" i="10"/>
  <c r="AG11" i="10" s="1"/>
  <c r="AJ11" i="10" s="1"/>
  <c r="AE17" i="10"/>
  <c r="AG17" i="10" s="1"/>
  <c r="AJ17" i="10" s="1"/>
  <c r="AK17" i="10" s="1"/>
  <c r="AE20" i="10"/>
  <c r="AG20" i="10" s="1"/>
  <c r="AJ20" i="10" s="1"/>
  <c r="AK20" i="10" s="1"/>
  <c r="AD16" i="10"/>
  <c r="AD7" i="10"/>
  <c r="W48" i="2"/>
  <c r="Y48" i="2" s="1"/>
  <c r="AB48" i="2" s="1"/>
  <c r="AC48" i="2" s="1"/>
  <c r="AE25" i="10"/>
  <c r="AG25" i="10" s="1"/>
  <c r="AJ25" i="10" s="1"/>
  <c r="AK25" i="10" s="1"/>
  <c r="AE24" i="10"/>
  <c r="AG24" i="10" s="1"/>
  <c r="AE26" i="10"/>
  <c r="AG26" i="10" s="1"/>
  <c r="Z32" i="10"/>
  <c r="AB16" i="10"/>
  <c r="AB7" i="10"/>
  <c r="W20" i="2"/>
  <c r="AB20" i="2" s="1"/>
  <c r="W16" i="2"/>
  <c r="AK11" i="10" l="1"/>
  <c r="AE16" i="10"/>
  <c r="AG16" i="10" s="1"/>
  <c r="AJ16" i="10" s="1"/>
  <c r="AK16" i="10" s="1"/>
  <c r="AE7" i="10"/>
  <c r="AJ7" i="10" s="1"/>
  <c r="AK7" i="10" s="1"/>
  <c r="AJ26" i="10"/>
  <c r="AK26" i="10" s="1"/>
  <c r="AC20" i="2"/>
  <c r="AB32" i="10"/>
  <c r="AD32" i="10"/>
  <c r="AC32" i="10"/>
  <c r="AJ24" i="10"/>
  <c r="AF32" i="10"/>
  <c r="AA32" i="10"/>
  <c r="AB16" i="2"/>
  <c r="AC16" i="2" s="1"/>
  <c r="AE32" i="10" l="1"/>
  <c r="AG32" i="10"/>
  <c r="AK24" i="10"/>
  <c r="AK32" i="10" l="1"/>
  <c r="AJ32" i="10"/>
  <c r="Y23" i="6" l="1"/>
  <c r="Z23" i="6" s="1"/>
  <c r="Y22" i="6"/>
  <c r="Z22" i="6" s="1"/>
  <c r="Y21" i="6"/>
  <c r="Z21" i="6" s="1"/>
  <c r="Y20" i="6"/>
  <c r="Z20" i="6" s="1"/>
  <c r="Y19" i="6"/>
  <c r="Z19" i="6" s="1"/>
  <c r="Y18" i="6"/>
  <c r="Z18" i="6" s="1"/>
  <c r="Y17" i="6"/>
  <c r="Z17" i="6" s="1"/>
  <c r="Y16" i="6"/>
  <c r="Z16" i="6" s="1"/>
  <c r="Y15" i="6"/>
  <c r="Z15" i="6" s="1"/>
  <c r="Y14" i="6"/>
  <c r="Z14" i="6" s="1"/>
  <c r="Y13" i="6"/>
  <c r="Z13" i="6" s="1"/>
  <c r="Y12" i="6"/>
  <c r="Z12" i="6" s="1"/>
  <c r="Y11" i="6"/>
  <c r="Z11" i="6" s="1"/>
  <c r="Y10" i="6"/>
  <c r="Z10" i="6" s="1"/>
  <c r="Y9" i="6"/>
  <c r="Z9" i="6" s="1"/>
  <c r="Y8" i="6"/>
  <c r="Z8" i="6" s="1"/>
  <c r="AD23" i="6"/>
  <c r="AC23" i="6"/>
  <c r="AB23" i="6"/>
  <c r="AA23" i="6"/>
  <c r="AD22" i="6"/>
  <c r="AC22" i="6"/>
  <c r="AB22" i="6"/>
  <c r="AA22" i="6"/>
  <c r="AD21" i="6"/>
  <c r="AC21" i="6"/>
  <c r="AB21" i="6"/>
  <c r="AA21" i="6"/>
  <c r="AD20" i="6"/>
  <c r="AC20" i="6"/>
  <c r="AB20" i="6"/>
  <c r="AA20" i="6"/>
  <c r="AD19" i="6"/>
  <c r="AC19" i="6"/>
  <c r="AB19" i="6"/>
  <c r="AA19" i="6"/>
  <c r="AD18" i="6"/>
  <c r="AC18" i="6"/>
  <c r="AB18" i="6"/>
  <c r="AA18" i="6"/>
  <c r="AD17" i="6"/>
  <c r="AC17" i="6"/>
  <c r="AB17" i="6"/>
  <c r="AA17" i="6"/>
  <c r="AD16" i="6"/>
  <c r="AC16" i="6"/>
  <c r="AB16" i="6"/>
  <c r="AA16" i="6"/>
  <c r="AF16" i="6" s="1"/>
  <c r="AD15" i="6"/>
  <c r="AC15" i="6"/>
  <c r="AB15" i="6"/>
  <c r="AA15" i="6"/>
  <c r="AF15" i="6" s="1"/>
  <c r="AD14" i="6"/>
  <c r="AC14" i="6"/>
  <c r="AB14" i="6"/>
  <c r="AA14" i="6"/>
  <c r="AD13" i="6"/>
  <c r="AC13" i="6"/>
  <c r="AB13" i="6"/>
  <c r="AA13" i="6"/>
  <c r="AD12" i="6"/>
  <c r="AC12" i="6"/>
  <c r="AB12" i="6"/>
  <c r="AA12" i="6"/>
  <c r="AF12" i="6" s="1"/>
  <c r="AD11" i="6"/>
  <c r="AC11" i="6"/>
  <c r="AB11" i="6"/>
  <c r="AA11" i="6"/>
  <c r="AD10" i="6"/>
  <c r="AC10" i="6"/>
  <c r="AB10" i="6"/>
  <c r="AA10" i="6"/>
  <c r="AF9" i="6"/>
  <c r="AD9" i="6"/>
  <c r="AC9" i="6"/>
  <c r="AB9" i="6"/>
  <c r="AA9" i="6"/>
  <c r="AD8" i="6"/>
  <c r="AC8" i="6"/>
  <c r="AB8" i="6"/>
  <c r="AA8" i="6"/>
  <c r="AF8" i="6" s="1"/>
  <c r="AE9" i="6" l="1"/>
  <c r="AG9" i="6" s="1"/>
  <c r="AJ9" i="6" s="1"/>
  <c r="AK9" i="6" s="1"/>
  <c r="AE10" i="6"/>
  <c r="AG10" i="6" s="1"/>
  <c r="AE13" i="6"/>
  <c r="AG13" i="6" s="1"/>
  <c r="AJ13" i="6" s="1"/>
  <c r="AK13" i="6" s="1"/>
  <c r="AE17" i="6"/>
  <c r="AG17" i="6" s="1"/>
  <c r="AE21" i="6"/>
  <c r="AF17" i="6"/>
  <c r="AE18" i="6"/>
  <c r="AE22" i="6"/>
  <c r="AE15" i="6"/>
  <c r="AE19" i="6"/>
  <c r="AE23" i="6"/>
  <c r="AE14" i="6"/>
  <c r="AE11" i="6"/>
  <c r="AE8" i="6"/>
  <c r="AE12" i="6"/>
  <c r="AE16" i="6"/>
  <c r="AE20" i="6"/>
  <c r="AJ17" i="6" l="1"/>
  <c r="AK17" i="6" s="1"/>
  <c r="AG21" i="6"/>
  <c r="AJ21" i="6" s="1"/>
  <c r="AK21" i="6" s="1"/>
  <c r="AJ10" i="6"/>
  <c r="AK10" i="6" s="1"/>
  <c r="AG14" i="6"/>
  <c r="AJ14" i="6" s="1"/>
  <c r="AK14" i="6" s="1"/>
  <c r="AG12" i="6"/>
  <c r="AJ12" i="6" s="1"/>
  <c r="AK12" i="6" s="1"/>
  <c r="AG19" i="6"/>
  <c r="AJ19" i="6" s="1"/>
  <c r="AK19" i="6" s="1"/>
  <c r="AG22" i="6"/>
  <c r="AJ22" i="6" s="1"/>
  <c r="AK22" i="6" s="1"/>
  <c r="AG16" i="6"/>
  <c r="AJ16" i="6" s="1"/>
  <c r="AK16" i="6" s="1"/>
  <c r="AG23" i="6"/>
  <c r="AJ23" i="6" s="1"/>
  <c r="AK23" i="6" s="1"/>
  <c r="AG8" i="6"/>
  <c r="AJ8" i="6" s="1"/>
  <c r="AK8" i="6" s="1"/>
  <c r="AG15" i="6"/>
  <c r="AJ15" i="6" s="1"/>
  <c r="AK15" i="6" s="1"/>
  <c r="AG18" i="6"/>
  <c r="AJ18" i="6" s="1"/>
  <c r="AK18" i="6" s="1"/>
  <c r="AG20" i="6"/>
  <c r="AJ20" i="6" s="1"/>
  <c r="AK20" i="6" s="1"/>
  <c r="AG11" i="6"/>
  <c r="AJ11" i="6" s="1"/>
  <c r="AK11" i="6" s="1"/>
  <c r="O11" i="2"/>
  <c r="M11" i="2"/>
  <c r="O14" i="2"/>
  <c r="M14" i="2"/>
  <c r="O36" i="2"/>
  <c r="M36" i="2"/>
  <c r="M12" i="2"/>
  <c r="O10" i="2"/>
  <c r="M10" i="2"/>
  <c r="M30" i="2"/>
  <c r="O30" i="2"/>
  <c r="N37" i="2"/>
  <c r="M37" i="2"/>
  <c r="N17" i="2"/>
  <c r="M17" i="2"/>
  <c r="N27" i="2"/>
  <c r="M27" i="2"/>
  <c r="N50" i="2"/>
  <c r="M50" i="2"/>
  <c r="N46" i="2"/>
  <c r="M46" i="2"/>
  <c r="N40" i="2"/>
  <c r="M40" i="2"/>
  <c r="N39" i="2"/>
  <c r="M39" i="2"/>
  <c r="X39" i="2" s="1"/>
  <c r="N38" i="2"/>
  <c r="M38" i="2"/>
  <c r="N35" i="2"/>
  <c r="M35" i="2"/>
  <c r="N32" i="2"/>
  <c r="M32" i="2"/>
  <c r="N26" i="2"/>
  <c r="M26" i="2"/>
  <c r="M24" i="2"/>
  <c r="M23" i="2"/>
  <c r="O22" i="2"/>
  <c r="N22" i="2"/>
  <c r="M22" i="2"/>
  <c r="N21" i="2"/>
  <c r="M21" i="2"/>
  <c r="N31" i="2"/>
  <c r="M31" i="2"/>
  <c r="X31" i="2" s="1"/>
  <c r="N19" i="2"/>
  <c r="M19" i="2"/>
  <c r="O18" i="2"/>
  <c r="M18" i="2"/>
  <c r="L25" i="2"/>
  <c r="L43" i="2" l="1"/>
  <c r="L52" i="2"/>
  <c r="AD34" i="2"/>
  <c r="AE33" i="2"/>
  <c r="AD33" i="2"/>
  <c r="L33" i="2"/>
  <c r="AD42" i="2"/>
  <c r="T50" i="2" l="1"/>
  <c r="V52" i="2"/>
  <c r="U52" i="2"/>
  <c r="T52" i="2"/>
  <c r="S52" i="2"/>
  <c r="X52" i="2" s="1"/>
  <c r="Q52" i="2"/>
  <c r="R52" i="2" s="1"/>
  <c r="V51" i="2"/>
  <c r="U51" i="2"/>
  <c r="T51" i="2"/>
  <c r="S51" i="2"/>
  <c r="Q51" i="2"/>
  <c r="R51" i="2" s="1"/>
  <c r="Q50" i="2"/>
  <c r="R50" i="2" s="1"/>
  <c r="S50" i="2"/>
  <c r="X50" i="2" s="1"/>
  <c r="U50" i="2"/>
  <c r="V50" i="2"/>
  <c r="AI27" i="6"/>
  <c r="AH27" i="6"/>
  <c r="AJ7" i="6"/>
  <c r="AD7" i="6"/>
  <c r="AC7" i="6"/>
  <c r="AB7" i="6"/>
  <c r="W51" i="2" l="1"/>
  <c r="Y51" i="2" s="1"/>
  <c r="W52" i="2"/>
  <c r="W50" i="2"/>
  <c r="Y50" i="2" s="1"/>
  <c r="AB50" i="2" s="1"/>
  <c r="AC50" i="2" s="1"/>
  <c r="Y7" i="6"/>
  <c r="Z7" i="6" s="1"/>
  <c r="AC27" i="6"/>
  <c r="AD27" i="6"/>
  <c r="AB27" i="6"/>
  <c r="AA7" i="6"/>
  <c r="AE7" i="6" s="1"/>
  <c r="AK7" i="6" s="1"/>
  <c r="AB51" i="2" l="1"/>
  <c r="AC51" i="2" s="1"/>
  <c r="AB52" i="2"/>
  <c r="AC52" i="2" s="1"/>
  <c r="Z27" i="6"/>
  <c r="AA27" i="6"/>
  <c r="AE27" i="6"/>
  <c r="AF27" i="6"/>
  <c r="AG27" i="6" l="1"/>
  <c r="AK27" i="6" l="1"/>
  <c r="AJ27" i="6"/>
  <c r="AF49" i="2" l="1"/>
  <c r="V49" i="2"/>
  <c r="U49" i="2"/>
  <c r="T49" i="2"/>
  <c r="S49" i="2"/>
  <c r="Q49" i="2"/>
  <c r="R49" i="2" s="1"/>
  <c r="W49" i="2" l="1"/>
  <c r="X49" i="2"/>
  <c r="Y49" i="2" l="1"/>
  <c r="AB49" i="2" l="1"/>
  <c r="AB45" i="2"/>
  <c r="X43" i="2"/>
  <c r="AB43" i="2" s="1"/>
  <c r="AB42" i="2"/>
  <c r="V47" i="2"/>
  <c r="U47" i="2"/>
  <c r="T47" i="2"/>
  <c r="S47" i="2"/>
  <c r="V46" i="2"/>
  <c r="U46" i="2"/>
  <c r="T46" i="2"/>
  <c r="S46" i="2"/>
  <c r="X46" i="2" s="1"/>
  <c r="AB46" i="2" s="1"/>
  <c r="V45" i="2"/>
  <c r="U45" i="2"/>
  <c r="T45" i="2"/>
  <c r="S45" i="2"/>
  <c r="V44" i="2"/>
  <c r="U44" i="2"/>
  <c r="T44" i="2"/>
  <c r="S44" i="2"/>
  <c r="V43" i="2"/>
  <c r="U43" i="2"/>
  <c r="T43" i="2"/>
  <c r="S43" i="2"/>
  <c r="V42" i="2"/>
  <c r="U42" i="2"/>
  <c r="T42" i="2"/>
  <c r="S42" i="2"/>
  <c r="Q47" i="2"/>
  <c r="R47" i="2" s="1"/>
  <c r="Q46" i="2"/>
  <c r="R46" i="2" s="1"/>
  <c r="Q45" i="2"/>
  <c r="R45" i="2" s="1"/>
  <c r="Q44" i="2"/>
  <c r="R44" i="2" s="1"/>
  <c r="Q43" i="2"/>
  <c r="R43" i="2" s="1"/>
  <c r="Q42" i="2"/>
  <c r="R42" i="2" s="1"/>
  <c r="AC49" i="2" l="1"/>
  <c r="W47" i="2"/>
  <c r="X47" i="2"/>
  <c r="AB47" i="2" s="1"/>
  <c r="W46" i="2"/>
  <c r="AC46" i="2" s="1"/>
  <c r="W45" i="2"/>
  <c r="AC45" i="2" s="1"/>
  <c r="W44" i="2"/>
  <c r="X44" i="2"/>
  <c r="AB44" i="2" s="1"/>
  <c r="W42" i="2"/>
  <c r="AC42" i="2" s="1"/>
  <c r="W43" i="2"/>
  <c r="AC43" i="2" s="1"/>
  <c r="AC44" i="2" l="1"/>
  <c r="AC47" i="2"/>
  <c r="S26" i="2"/>
  <c r="T26" i="2"/>
  <c r="V41" i="2" l="1"/>
  <c r="U41" i="2"/>
  <c r="T41" i="2"/>
  <c r="S41" i="2"/>
  <c r="Q41" i="2"/>
  <c r="R41" i="2" s="1"/>
  <c r="W41" i="2" l="1"/>
  <c r="AB41" i="2" l="1"/>
  <c r="AC41" i="2" s="1"/>
  <c r="T14" i="2" l="1"/>
  <c r="U14" i="2"/>
  <c r="Q40" i="2" l="1"/>
  <c r="R40" i="2" s="1"/>
  <c r="Q39" i="2" l="1"/>
  <c r="R39" i="2" s="1"/>
  <c r="V38" i="2" l="1"/>
  <c r="U38" i="2"/>
  <c r="T38" i="2"/>
  <c r="S38" i="2"/>
  <c r="Q38" i="2"/>
  <c r="R38" i="2" s="1"/>
  <c r="Q37" i="2"/>
  <c r="R37" i="2" s="1"/>
  <c r="Q36" i="2"/>
  <c r="R36" i="2" s="1"/>
  <c r="W38" i="2" l="1"/>
  <c r="X38" i="2"/>
  <c r="AB38" i="2" l="1"/>
  <c r="AC38" i="2" s="1"/>
  <c r="V34" i="2" l="1"/>
  <c r="U34" i="2"/>
  <c r="T34" i="2"/>
  <c r="S34" i="2"/>
  <c r="V33" i="2"/>
  <c r="U33" i="2"/>
  <c r="T33" i="2"/>
  <c r="S33" i="2"/>
  <c r="Q35" i="2"/>
  <c r="R35" i="2" s="1"/>
  <c r="Q34" i="2"/>
  <c r="R34" i="2" s="1"/>
  <c r="Q33" i="2"/>
  <c r="R33" i="2" s="1"/>
  <c r="Q32" i="2"/>
  <c r="R32" i="2" s="1"/>
  <c r="W33" i="2" l="1"/>
  <c r="W34" i="2"/>
  <c r="Y34" i="2" l="1"/>
  <c r="AB34" i="2" s="1"/>
  <c r="AC34" i="2" s="1"/>
  <c r="Y33" i="2"/>
  <c r="AB33" i="2" s="1"/>
  <c r="AC33" i="2" s="1"/>
  <c r="Q31" i="2" l="1"/>
  <c r="R31" i="2" s="1"/>
  <c r="Q30" i="2"/>
  <c r="R30" i="2" s="1"/>
  <c r="Q29" i="2"/>
  <c r="R29" i="2" s="1"/>
  <c r="Q28" i="2"/>
  <c r="R28" i="2" s="1"/>
  <c r="Q27" i="2" l="1"/>
  <c r="R27" i="2" s="1"/>
  <c r="Q26" i="2"/>
  <c r="R26" i="2" s="1"/>
  <c r="Q25" i="2"/>
  <c r="R25" i="2" s="1"/>
  <c r="Q24" i="2"/>
  <c r="R24" i="2" s="1"/>
  <c r="Q23" i="2"/>
  <c r="R23" i="2" s="1"/>
  <c r="Q22" i="2" l="1"/>
  <c r="R22" i="2" s="1"/>
  <c r="Q21" i="2"/>
  <c r="R21" i="2" s="1"/>
  <c r="Q19" i="2" l="1"/>
  <c r="R19" i="2" s="1"/>
  <c r="Q18" i="2"/>
  <c r="R18" i="2" s="1"/>
  <c r="Q17" i="2"/>
  <c r="R17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AB8" i="2"/>
  <c r="Q8" i="2"/>
  <c r="R8" i="2" s="1"/>
  <c r="Q7" i="2"/>
  <c r="R7" i="2" s="1"/>
  <c r="R59" i="2" l="1"/>
  <c r="U40" i="2" l="1"/>
  <c r="S40" i="2"/>
  <c r="V40" i="2"/>
  <c r="T40" i="2"/>
  <c r="W40" i="2" l="1"/>
  <c r="X40" i="2"/>
  <c r="Y40" i="2" l="1"/>
  <c r="AB40" i="2" s="1"/>
  <c r="AC40" i="2" s="1"/>
  <c r="S39" i="2"/>
  <c r="T39" i="2"/>
  <c r="U39" i="2"/>
  <c r="V39" i="2"/>
  <c r="W39" i="2" l="1"/>
  <c r="AB39" i="2" l="1"/>
  <c r="AC39" i="2" s="1"/>
  <c r="S15" i="2"/>
  <c r="V15" i="2"/>
  <c r="U15" i="2"/>
  <c r="T15" i="2"/>
  <c r="V14" i="2"/>
  <c r="S14" i="2"/>
  <c r="V30" i="2"/>
  <c r="U30" i="2"/>
  <c r="T30" i="2"/>
  <c r="S30" i="2"/>
  <c r="T22" i="2"/>
  <c r="U22" i="2"/>
  <c r="S22" i="2"/>
  <c r="V22" i="2"/>
  <c r="T12" i="2"/>
  <c r="V12" i="2"/>
  <c r="U12" i="2"/>
  <c r="S12" i="2"/>
  <c r="V19" i="2"/>
  <c r="T19" i="2"/>
  <c r="S19" i="2"/>
  <c r="U19" i="2"/>
  <c r="T37" i="2"/>
  <c r="U37" i="2"/>
  <c r="S37" i="2"/>
  <c r="V37" i="2"/>
  <c r="U21" i="2"/>
  <c r="V21" i="2"/>
  <c r="T21" i="2"/>
  <c r="S21" i="2"/>
  <c r="S35" i="2"/>
  <c r="V35" i="2"/>
  <c r="U35" i="2"/>
  <c r="T35" i="2"/>
  <c r="S10" i="2"/>
  <c r="V10" i="2"/>
  <c r="U10" i="2"/>
  <c r="T10" i="2"/>
  <c r="S18" i="2"/>
  <c r="V18" i="2"/>
  <c r="U18" i="2"/>
  <c r="T18" i="2"/>
  <c r="V7" i="2"/>
  <c r="T7" i="2"/>
  <c r="U7" i="2"/>
  <c r="S7" i="2"/>
  <c r="U11" i="2"/>
  <c r="T11" i="2"/>
  <c r="S11" i="2"/>
  <c r="V11" i="2"/>
  <c r="U9" i="2"/>
  <c r="X9" i="2"/>
  <c r="AB9" i="2" s="1"/>
  <c r="V9" i="2"/>
  <c r="T9" i="2"/>
  <c r="S9" i="2"/>
  <c r="U31" i="2"/>
  <c r="T31" i="2"/>
  <c r="S31" i="2"/>
  <c r="V31" i="2"/>
  <c r="S32" i="2"/>
  <c r="T32" i="2"/>
  <c r="V32" i="2"/>
  <c r="U32" i="2"/>
  <c r="S36" i="2"/>
  <c r="V36" i="2"/>
  <c r="U36" i="2"/>
  <c r="T36" i="2"/>
  <c r="T24" i="2"/>
  <c r="S24" i="2"/>
  <c r="V24" i="2"/>
  <c r="U24" i="2"/>
  <c r="U13" i="2"/>
  <c r="T13" i="2"/>
  <c r="S13" i="2"/>
  <c r="V13" i="2"/>
  <c r="V25" i="2"/>
  <c r="U25" i="2"/>
  <c r="X25" i="2"/>
  <c r="T25" i="2"/>
  <c r="S25" i="2"/>
  <c r="S29" i="2"/>
  <c r="V29" i="2"/>
  <c r="U29" i="2"/>
  <c r="T29" i="2"/>
  <c r="S27" i="2"/>
  <c r="U27" i="2"/>
  <c r="V27" i="2"/>
  <c r="T27" i="2"/>
  <c r="U23" i="2"/>
  <c r="S23" i="2"/>
  <c r="V23" i="2"/>
  <c r="T23" i="2"/>
  <c r="U26" i="2"/>
  <c r="V26" i="2"/>
  <c r="U28" i="2"/>
  <c r="T28" i="2"/>
  <c r="X28" i="2"/>
  <c r="AB28" i="2" s="1"/>
  <c r="S28" i="2"/>
  <c r="V28" i="2"/>
  <c r="S8" i="2"/>
  <c r="V8" i="2"/>
  <c r="U8" i="2"/>
  <c r="T8" i="2"/>
  <c r="T17" i="2"/>
  <c r="V17" i="2"/>
  <c r="U17" i="2"/>
  <c r="S17" i="2"/>
  <c r="S59" i="2" l="1"/>
  <c r="V59" i="2"/>
  <c r="U59" i="2"/>
  <c r="T59" i="2"/>
  <c r="W31" i="2"/>
  <c r="X12" i="2"/>
  <c r="AB12" i="2" s="1"/>
  <c r="W12" i="2"/>
  <c r="W30" i="2"/>
  <c r="X30" i="2"/>
  <c r="W14" i="2"/>
  <c r="X14" i="2"/>
  <c r="W28" i="2"/>
  <c r="AC28" i="2" s="1"/>
  <c r="W27" i="2"/>
  <c r="W24" i="2"/>
  <c r="AB24" i="2" s="1"/>
  <c r="AC24" i="2" s="1"/>
  <c r="W11" i="2"/>
  <c r="X11" i="2"/>
  <c r="AB11" i="2" s="1"/>
  <c r="X37" i="2"/>
  <c r="W37" i="2"/>
  <c r="X19" i="2"/>
  <c r="W19" i="2"/>
  <c r="W22" i="2"/>
  <c r="AB22" i="2" s="1"/>
  <c r="AC22" i="2" s="1"/>
  <c r="W23" i="2"/>
  <c r="Y23" i="2" s="1"/>
  <c r="X23" i="2"/>
  <c r="W13" i="2"/>
  <c r="X13" i="2"/>
  <c r="AB13" i="2" s="1"/>
  <c r="W7" i="2"/>
  <c r="X7" i="2"/>
  <c r="X21" i="2"/>
  <c r="W21" i="2"/>
  <c r="X29" i="2"/>
  <c r="W29" i="2"/>
  <c r="W25" i="2"/>
  <c r="AB25" i="2" s="1"/>
  <c r="AC25" i="2" s="1"/>
  <c r="X36" i="2"/>
  <c r="AB36" i="2" s="1"/>
  <c r="W36" i="2"/>
  <c r="W32" i="2"/>
  <c r="X32" i="2"/>
  <c r="X17" i="2"/>
  <c r="W17" i="2"/>
  <c r="W8" i="2"/>
  <c r="AC8" i="2" s="1"/>
  <c r="W26" i="2"/>
  <c r="AB26" i="2" s="1"/>
  <c r="AC26" i="2" s="1"/>
  <c r="W9" i="2"/>
  <c r="AC9" i="2" s="1"/>
  <c r="W18" i="2"/>
  <c r="X18" i="2"/>
  <c r="X10" i="2"/>
  <c r="W10" i="2"/>
  <c r="W35" i="2"/>
  <c r="X35" i="2"/>
  <c r="X15" i="2"/>
  <c r="AB15" i="2" s="1"/>
  <c r="W15" i="2"/>
  <c r="X59" i="2" l="1"/>
  <c r="W59" i="2"/>
  <c r="AC36" i="2"/>
  <c r="Y27" i="2"/>
  <c r="AB27" i="2" s="1"/>
  <c r="AC27" i="2" s="1"/>
  <c r="AB35" i="2"/>
  <c r="AC35" i="2" s="1"/>
  <c r="AB30" i="2"/>
  <c r="AC30" i="2" s="1"/>
  <c r="Y32" i="2"/>
  <c r="AB32" i="2" s="1"/>
  <c r="AC32" i="2" s="1"/>
  <c r="AB29" i="2"/>
  <c r="AC29" i="2" s="1"/>
  <c r="AB31" i="2"/>
  <c r="AC31" i="2" s="1"/>
  <c r="AB37" i="2"/>
  <c r="AC37" i="2" s="1"/>
  <c r="AB23" i="2"/>
  <c r="AC23" i="2" s="1"/>
  <c r="AB14" i="2"/>
  <c r="AC14" i="2" s="1"/>
  <c r="AC15" i="2"/>
  <c r="AB10" i="2"/>
  <c r="AC10" i="2" s="1"/>
  <c r="AB21" i="2"/>
  <c r="AC21" i="2" s="1"/>
  <c r="AB19" i="2"/>
  <c r="AC19" i="2" s="1"/>
  <c r="AC11" i="2"/>
  <c r="AB18" i="2"/>
  <c r="AC18" i="2" s="1"/>
  <c r="AB17" i="2"/>
  <c r="AC17" i="2" s="1"/>
  <c r="AB7" i="2"/>
  <c r="AC13" i="2"/>
  <c r="AC12" i="2"/>
  <c r="Y59" i="2" l="1"/>
  <c r="AB59" i="2"/>
  <c r="AC7" i="2"/>
  <c r="AC59" i="2" s="1"/>
</calcChain>
</file>

<file path=xl/comments1.xml><?xml version="1.0" encoding="utf-8"?>
<comments xmlns="http://schemas.openxmlformats.org/spreadsheetml/2006/main">
  <authors>
    <author>User</author>
  </authors>
  <commentList>
    <comment ref="Y10" authorId="0" shapeId="0">
      <text>
        <r>
          <rPr>
            <b/>
            <sz val="9"/>
            <color indexed="81"/>
            <rFont val="Tahoma"/>
            <family val="2"/>
          </rPr>
          <t>Deduct ESI till March-26.</t>
        </r>
      </text>
    </comment>
    <comment ref="Y14" authorId="0" shapeId="0">
      <text>
        <r>
          <rPr>
            <b/>
            <sz val="9"/>
            <color indexed="81"/>
            <rFont val="Tahoma"/>
            <family val="2"/>
          </rPr>
          <t>Deduct ESI till March-26.</t>
        </r>
      </text>
    </comment>
    <comment ref="M34" authorId="0" shapeId="0">
      <text>
        <r>
          <rPr>
            <b/>
            <sz val="9"/>
            <color indexed="81"/>
            <rFont val="Tahoma"/>
            <family val="2"/>
          </rPr>
          <t>Salary increase to 14,000/- effective from 01 November 2025</t>
        </r>
      </text>
    </comment>
  </commentList>
</comments>
</file>

<file path=xl/sharedStrings.xml><?xml version="1.0" encoding="utf-8"?>
<sst xmlns="http://schemas.openxmlformats.org/spreadsheetml/2006/main" count="789" uniqueCount="348">
  <si>
    <t>UAN</t>
  </si>
  <si>
    <t>IP NO.</t>
  </si>
  <si>
    <t>Emp. Name</t>
  </si>
  <si>
    <t>PAN</t>
  </si>
  <si>
    <t>DOB</t>
  </si>
  <si>
    <t>Father Name</t>
  </si>
  <si>
    <t>Emp.</t>
  </si>
  <si>
    <t>Total</t>
  </si>
  <si>
    <t>H.R.A.</t>
  </si>
  <si>
    <t>Conv.</t>
  </si>
  <si>
    <t>DEDUCTIONS</t>
  </si>
  <si>
    <t>TOT.</t>
  </si>
  <si>
    <t xml:space="preserve">Net </t>
  </si>
  <si>
    <t>Reserve Leave</t>
  </si>
  <si>
    <t>Casual Leave</t>
  </si>
  <si>
    <t>Code</t>
  </si>
  <si>
    <t>Amt.</t>
  </si>
  <si>
    <t>Allowance</t>
  </si>
  <si>
    <t>P.F.</t>
  </si>
  <si>
    <t>E.S.I.</t>
  </si>
  <si>
    <t>ADV.</t>
  </si>
  <si>
    <t>T.D.S.</t>
  </si>
  <si>
    <t>Ded.</t>
  </si>
  <si>
    <t>Payable</t>
  </si>
  <si>
    <t>SHREYA CHATURVEDI</t>
  </si>
  <si>
    <t>BHYPC7864G</t>
  </si>
  <si>
    <t>SHAILENDRA KUMAR CHATURVEDI</t>
  </si>
  <si>
    <t>NA</t>
  </si>
  <si>
    <t>YOGESH KUMAR SHARMA</t>
  </si>
  <si>
    <t>DBNPS7915F</t>
  </si>
  <si>
    <t>VIJAY KUMAR SHARMA</t>
  </si>
  <si>
    <t>IN-20</t>
  </si>
  <si>
    <t>MANOJ KUMAR</t>
  </si>
  <si>
    <t>FKCPK6180E</t>
  </si>
  <si>
    <t>BACCHU SINGH</t>
  </si>
  <si>
    <t>ABHISHEK DUBEY</t>
  </si>
  <si>
    <t>GLKPD3358F</t>
  </si>
  <si>
    <t>KRIPA SHANKAR DUBEY</t>
  </si>
  <si>
    <t>ANUJ KUMAR</t>
  </si>
  <si>
    <t>BADRI PRASAD SHARMA</t>
  </si>
  <si>
    <t>SANTOSH KUMAR SHARMA</t>
  </si>
  <si>
    <t>KYNPS9874R</t>
  </si>
  <si>
    <t>BRIJESH SHARMA</t>
  </si>
  <si>
    <t>PRABHAT UPADHYAY</t>
  </si>
  <si>
    <t>VINAY UPADHYAY</t>
  </si>
  <si>
    <t>Sr. No.</t>
  </si>
  <si>
    <t>MEHUL ROY</t>
  </si>
  <si>
    <t>CDMPR6681R</t>
  </si>
  <si>
    <t>KALI DAS ROY</t>
  </si>
  <si>
    <t>ANURAG SHARMA</t>
  </si>
  <si>
    <t>SENPS2423J</t>
  </si>
  <si>
    <t>SHIV KUMAR SHARMA</t>
  </si>
  <si>
    <t>RITURAJ</t>
  </si>
  <si>
    <t>CHKPR6531C</t>
  </si>
  <si>
    <t>SUNIL KUMAR</t>
  </si>
  <si>
    <t>Basic + DA</t>
  </si>
  <si>
    <t>Special</t>
  </si>
  <si>
    <t>PAWAN KUMAR JAIN</t>
  </si>
  <si>
    <t>SAURABH SHARMA</t>
  </si>
  <si>
    <t>LQJPS6344F</t>
  </si>
  <si>
    <t>SHIVPRASAD SHARMA</t>
  </si>
  <si>
    <t>OMLPK0986C</t>
  </si>
  <si>
    <t>TOTAL</t>
  </si>
  <si>
    <t>Important Notes</t>
  </si>
  <si>
    <t>NEERAJ YADAV</t>
  </si>
  <si>
    <t>BAKPY8595H</t>
  </si>
  <si>
    <t>BETAL SINGH</t>
  </si>
  <si>
    <t>YATIN SINGH</t>
  </si>
  <si>
    <t>KMZPS1630H</t>
  </si>
  <si>
    <t>RAJ KUMAR SINGH</t>
  </si>
  <si>
    <t>SHRUTI TIWARI</t>
  </si>
  <si>
    <t>CBKPT3570M</t>
  </si>
  <si>
    <t>RAJEEV KUMAR TIWARI</t>
  </si>
  <si>
    <t xml:space="preserve"> </t>
  </si>
  <si>
    <t>Probation Period till 90 Days 
(from the DOJ)</t>
  </si>
  <si>
    <t>CYDPC5033N</t>
  </si>
  <si>
    <t>NIKHIL SINGH CHAUHAN</t>
  </si>
  <si>
    <t>RAJAT SHARMA</t>
  </si>
  <si>
    <t>RAVINDRA SINGH</t>
  </si>
  <si>
    <t>PRIYANSHI BAGHEL</t>
  </si>
  <si>
    <t>FUEPB6332P</t>
  </si>
  <si>
    <t>MUKESH KUMAR BAGHEL</t>
  </si>
  <si>
    <t>JPFPS2259Q</t>
  </si>
  <si>
    <t>OM PRAKASH</t>
  </si>
  <si>
    <t>DOJ</t>
  </si>
  <si>
    <t>FDLPA4618D</t>
  </si>
  <si>
    <t>BABU KHAN</t>
  </si>
  <si>
    <t>NTJPS4415N</t>
  </si>
  <si>
    <t>VIVEK SHUKLA</t>
  </si>
  <si>
    <t>EEUPB5890D</t>
  </si>
  <si>
    <t>VAIBHAV BHARGAVA</t>
  </si>
  <si>
    <t>EZNPB8600M</t>
  </si>
  <si>
    <t>GULAM MUJTABA</t>
  </si>
  <si>
    <t>APDPH5248B</t>
  </si>
  <si>
    <t>SHANTI SHVARUP RAWAT</t>
  </si>
  <si>
    <t>MOHAMMED BILAL</t>
  </si>
  <si>
    <t>TEJASVI BHARGAVA</t>
  </si>
  <si>
    <t>SHOAIB ALI</t>
  </si>
  <si>
    <t>PRAKHAR SHUKLA</t>
  </si>
  <si>
    <t>HEMANT RAWAT</t>
  </si>
  <si>
    <t>ESIC &amp; PF</t>
  </si>
  <si>
    <t>Department</t>
  </si>
  <si>
    <t>DATE</t>
  </si>
  <si>
    <t>Designation</t>
  </si>
  <si>
    <t>AMAR CHAND JHA</t>
  </si>
  <si>
    <t>DEEPAK JAIN</t>
  </si>
  <si>
    <t>ANURAG DUBEY</t>
  </si>
  <si>
    <t>JANVI JHA</t>
  </si>
  <si>
    <t>COOPJ5754E</t>
  </si>
  <si>
    <t>VINOD KUMAR</t>
  </si>
  <si>
    <t>CASPJ6290B</t>
  </si>
  <si>
    <t>MUKESH KUMAR JAIN</t>
  </si>
  <si>
    <t>DFDPD7462G</t>
  </si>
  <si>
    <t>RAM ANMOL DUBEY</t>
  </si>
  <si>
    <t>CNIPJ8389N</t>
  </si>
  <si>
    <t>JAINARAYAN JHA</t>
  </si>
  <si>
    <t>ANGPU7199F</t>
  </si>
  <si>
    <t>SALES</t>
  </si>
  <si>
    <t>SALES HEAD</t>
  </si>
  <si>
    <t>Insured Under</t>
  </si>
  <si>
    <t>GHI
(Gorup Health Insurance Number)</t>
  </si>
  <si>
    <t>GPA
(Gorup Personal Accident Number)</t>
  </si>
  <si>
    <t>ICICI Lombard</t>
  </si>
  <si>
    <t>ESIC</t>
  </si>
  <si>
    <t>ABHISHEK JADON</t>
  </si>
  <si>
    <t>SACHIN SHARMA</t>
  </si>
  <si>
    <t>RAJ KUMAR</t>
  </si>
  <si>
    <t>ANAS KHAN</t>
  </si>
  <si>
    <t>CGUPJ9264M</t>
  </si>
  <si>
    <t>MDRPS7537N</t>
  </si>
  <si>
    <t>Don’t Have</t>
  </si>
  <si>
    <t>IKMPK5574H</t>
  </si>
  <si>
    <t>SUBHASH CHANDRA</t>
  </si>
  <si>
    <t>VISHWANATH SHARMA</t>
  </si>
  <si>
    <t>DEEVAN SINGH</t>
  </si>
  <si>
    <t>NAIM ULLAH</t>
  </si>
  <si>
    <t>MAHIPAL</t>
  </si>
  <si>
    <t>CSGPM4138P</t>
  </si>
  <si>
    <t>POP SINGH</t>
  </si>
  <si>
    <t>SANDEEP SONI</t>
  </si>
  <si>
    <t>CDKPS2885N</t>
  </si>
  <si>
    <t>SHYAM KUMAR SONI</t>
  </si>
  <si>
    <t>ABHAY GUPTA</t>
  </si>
  <si>
    <t>EHYPG9734E</t>
  </si>
  <si>
    <t>BANWARI LAL GUPTA</t>
  </si>
  <si>
    <t>HrLense ID</t>
  </si>
  <si>
    <t>Not Register</t>
  </si>
  <si>
    <t>SHRAVAN KUMAR</t>
  </si>
  <si>
    <t>OGLPK2939D</t>
  </si>
  <si>
    <t>AMAR KUMAR</t>
  </si>
  <si>
    <t>TANISHKA SISODIA</t>
  </si>
  <si>
    <t>QRPPS4999E</t>
  </si>
  <si>
    <t>SATISH CHAND SISODIA</t>
  </si>
  <si>
    <t>IL0904465978000</t>
  </si>
  <si>
    <t>SHANTANU RAJ</t>
  </si>
  <si>
    <t>CASPR3884H</t>
  </si>
  <si>
    <t>SUDHIR KUMAR VERMA</t>
  </si>
  <si>
    <t>Gross 
Amt.</t>
  </si>
  <si>
    <t>IL0904234446000</t>
  </si>
  <si>
    <t>ANKUSH KUMAR</t>
  </si>
  <si>
    <t>QZGPK3905R</t>
  </si>
  <si>
    <t>KARANPAL SINGH</t>
  </si>
  <si>
    <t>BHUPENDRA</t>
  </si>
  <si>
    <t>DDCPB9600K</t>
  </si>
  <si>
    <t>DANVEER SINGH</t>
  </si>
  <si>
    <t>ANKITA JOSHI</t>
  </si>
  <si>
    <t>DFAPJ9810P</t>
  </si>
  <si>
    <t>BIJENDRA KUMAR JOSHI</t>
  </si>
  <si>
    <t>PRAMOD KUMAR</t>
  </si>
  <si>
    <t>JHWPK5652Q</t>
  </si>
  <si>
    <t>VIJAYPAL SINGH</t>
  </si>
  <si>
    <t>MUSKAN</t>
  </si>
  <si>
    <t>IXNPM4102B</t>
  </si>
  <si>
    <t>NAVAL KISHORE</t>
  </si>
  <si>
    <t>ABHISHEK BHADAURIA</t>
  </si>
  <si>
    <t>ALGPB9077M</t>
  </si>
  <si>
    <t>MOHAN SINGH BHADAURIA</t>
  </si>
  <si>
    <t>RESIGNED AND NEED TO HOLD.</t>
  </si>
  <si>
    <t>ANUP CHAUHAN (INTERN)</t>
  </si>
  <si>
    <t>RAJ KUMAR SHARMA</t>
  </si>
  <si>
    <t>DNCPC4702D</t>
  </si>
  <si>
    <t>RAM MURTI CHAUHAN</t>
  </si>
  <si>
    <t>JYWPS2218M</t>
  </si>
  <si>
    <t>SATYA NARAYAN SHARMA</t>
  </si>
  <si>
    <t>SALARY SHEET FOR THE MONTH OF APRIL-2026</t>
  </si>
  <si>
    <t>INFUSIVE PRIVATE LIMITED, AGRA BRANCH</t>
  </si>
  <si>
    <t>INFUSIVE PRIVATE LIMITED, NOIDA BRANCH</t>
  </si>
  <si>
    <t>* 0 days overtime (14000 from Nov-25) Office Boy</t>
  </si>
  <si>
    <t>RESIGNED NEED TO HOLD SALARY</t>
  </si>
  <si>
    <t xml:space="preserve">JASAKARAN </t>
  </si>
  <si>
    <t>YES</t>
  </si>
  <si>
    <t>BJWPJ0287Q</t>
  </si>
  <si>
    <t>RAMVEER</t>
  </si>
  <si>
    <t>KESHAV SINGH</t>
  </si>
  <si>
    <t>EDGPK6986L</t>
  </si>
  <si>
    <t>SAURABH KUMAR</t>
  </si>
  <si>
    <t>Payable 
Days</t>
  </si>
  <si>
    <t>Actual Working Days</t>
  </si>
  <si>
    <t>BVMPJ4029E</t>
  </si>
  <si>
    <t>EL (MAR-26)</t>
  </si>
  <si>
    <t>CL (MAR-26)</t>
  </si>
  <si>
    <t>NOT JOINED</t>
  </si>
  <si>
    <t>* Guard (Adjust only 1 EL)</t>
  </si>
  <si>
    <t>ANURAG JAIN</t>
  </si>
  <si>
    <t>POORNIMA PAL</t>
  </si>
  <si>
    <t>KUSHBOO JANGID</t>
  </si>
  <si>
    <t>HARSHIT PANT</t>
  </si>
  <si>
    <t>TEJ PRAKASH SINGH</t>
  </si>
  <si>
    <t>ANKITA SHARMA</t>
  </si>
  <si>
    <t>ADITI BHALLA</t>
  </si>
  <si>
    <t>KRISHNA GARG</t>
  </si>
  <si>
    <t>NIKHIL VYAS</t>
  </si>
  <si>
    <t>NILESH SINGH RATHORE</t>
  </si>
  <si>
    <t>WASEEM ANSARI</t>
  </si>
  <si>
    <t>ADITYA JAGARWAL</t>
  </si>
  <si>
    <t>ARMAAN DHAMIWAL</t>
  </si>
  <si>
    <t>BINAYAK KUMAR</t>
  </si>
  <si>
    <t>ANIL PANWAR</t>
  </si>
  <si>
    <t>VANSH GUPTA</t>
  </si>
  <si>
    <t>NIKHIL KIRODIWAL</t>
  </si>
  <si>
    <t>Vijay singh pal</t>
  </si>
  <si>
    <t>Mahesh Kumar</t>
  </si>
  <si>
    <t>Tarun Pant</t>
  </si>
  <si>
    <t>Yes</t>
  </si>
  <si>
    <t>Sales</t>
  </si>
  <si>
    <t>BDE</t>
  </si>
  <si>
    <t>Not Joined</t>
  </si>
  <si>
    <t>INFUSIVE PRIVATE LIMITED, JAIPUR BRANCH</t>
  </si>
  <si>
    <t>LHAPK7990M</t>
  </si>
  <si>
    <t>QECPS3647F</t>
  </si>
  <si>
    <t>EEMPR5965D</t>
  </si>
  <si>
    <t>OWKPS4201M</t>
  </si>
  <si>
    <t>JCSPS6208F</t>
  </si>
  <si>
    <t>OHMPS5035J</t>
  </si>
  <si>
    <t>EGFPR7985L</t>
  </si>
  <si>
    <t>OQEPS3425K</t>
  </si>
  <si>
    <t>NLDPS2258M</t>
  </si>
  <si>
    <t>CTVPC4010Q</t>
  </si>
  <si>
    <t>CWZPN5714K</t>
  </si>
  <si>
    <t>CXSPC0745B</t>
  </si>
  <si>
    <t>HCNPR8685C</t>
  </si>
  <si>
    <t>CFTPC0797J</t>
  </si>
  <si>
    <t>YATENDRA RAWAT</t>
  </si>
  <si>
    <t>DYZPR6786L</t>
  </si>
  <si>
    <t>MAHESH CHAND RAWAT</t>
  </si>
  <si>
    <t>I-24</t>
  </si>
  <si>
    <t>IL0904466183000</t>
  </si>
  <si>
    <t>IL0904234586000</t>
  </si>
  <si>
    <t>RESIGNED AND NEED TO HOLD</t>
  </si>
  <si>
    <t>TARUN SHARMA</t>
  </si>
  <si>
    <t>UJJWAL KUMAR</t>
  </si>
  <si>
    <t>NITYAM SHARMA</t>
  </si>
  <si>
    <t>HARSH SINGH RATHORE</t>
  </si>
  <si>
    <t>VIJAY SINGH</t>
  </si>
  <si>
    <t>SURAJ SINGH</t>
  </si>
  <si>
    <t>ASHISH SINGH</t>
  </si>
  <si>
    <t>KAMINI RAJPUT</t>
  </si>
  <si>
    <t>AKSHAT SINGH</t>
  </si>
  <si>
    <t>RAVI KUMAR</t>
  </si>
  <si>
    <t>TANISHKA SINGH</t>
  </si>
  <si>
    <t>ADITYA CHAUHAN</t>
  </si>
  <si>
    <t>ANSHU CHAHAR</t>
  </si>
  <si>
    <t>MAHIMA RANI</t>
  </si>
  <si>
    <t>PARAKH CHAUHAN</t>
  </si>
  <si>
    <t>ANKIT TOMAR</t>
  </si>
  <si>
    <t>NISHANT JHA</t>
  </si>
  <si>
    <t>CHANDRIMA BANERJEE</t>
  </si>
  <si>
    <t>KANCHAN CHAUHAN</t>
  </si>
  <si>
    <t>Pay Arrer for April-2026</t>
  </si>
  <si>
    <t>BGGPV3703E</t>
  </si>
  <si>
    <t>AVIRAL SINGH CHAUHAN</t>
  </si>
  <si>
    <t>RAHUL VIDHURI</t>
  </si>
  <si>
    <t>ANURAG SINGH</t>
  </si>
  <si>
    <t>CVJPC5683H</t>
  </si>
  <si>
    <t>QYJPS4266K</t>
  </si>
  <si>
    <t>KOSPS5274G</t>
  </si>
  <si>
    <t>PRATAP SINGH</t>
  </si>
  <si>
    <t>RAHUL CHAUHAN</t>
  </si>
  <si>
    <t>SATISH SINGH</t>
  </si>
  <si>
    <t>VIJENDRA SHARMA</t>
  </si>
  <si>
    <t>)</t>
  </si>
  <si>
    <t xml:space="preserve"> - SALARY A/C</t>
  </si>
  <si>
    <t>FHTPP8666Q</t>
  </si>
  <si>
    <t>CVLPJ9916L</t>
  </si>
  <si>
    <t>GCJPP4826G</t>
  </si>
  <si>
    <t>QOMPS2681H</t>
  </si>
  <si>
    <t>PRAKASH SHARMA</t>
  </si>
  <si>
    <t>OFCPS2014P</t>
  </si>
  <si>
    <t>ASHISH BHALLA</t>
  </si>
  <si>
    <t>GMPPB2563E</t>
  </si>
  <si>
    <t>AJAY GARG</t>
  </si>
  <si>
    <t>ESNPG2503M</t>
  </si>
  <si>
    <t>ANIL VYAS</t>
  </si>
  <si>
    <t>BZWPV5364E</t>
  </si>
  <si>
    <t>KAMLESH SINGH</t>
  </si>
  <si>
    <t>FWAPR7509N</t>
  </si>
  <si>
    <t>SALEEM ANSARI</t>
  </si>
  <si>
    <t>DGWPA0007E</t>
  </si>
  <si>
    <t>MAHESH KUMAR JAGARWAL</t>
  </si>
  <si>
    <t>COEPJ8013C</t>
  </si>
  <si>
    <t>OM PRAKASH SAIN</t>
  </si>
  <si>
    <t>KPAPD9658J</t>
  </si>
  <si>
    <t>SHIV KUMAR</t>
  </si>
  <si>
    <t>MYBPK9885J</t>
  </si>
  <si>
    <t>HCPPP1849L</t>
  </si>
  <si>
    <t>MUKESH PANWAR</t>
  </si>
  <si>
    <t>COWPV4667L</t>
  </si>
  <si>
    <t>BHUPENDRA KUMAR GUPTA</t>
  </si>
  <si>
    <t>DINESH KIRODIWAL</t>
  </si>
  <si>
    <t>NMGPK4839E</t>
  </si>
  <si>
    <t>COSPK7075R</t>
  </si>
  <si>
    <t>DOIJ RAM</t>
  </si>
  <si>
    <t>ARUN SINGH</t>
  </si>
  <si>
    <t>SUNIL KUMAR SHARMA</t>
  </si>
  <si>
    <t>YOGENDRA SINGH RATHORE</t>
  </si>
  <si>
    <t>INDRA SINGH</t>
  </si>
  <si>
    <t>UPENDRA SINGH</t>
  </si>
  <si>
    <t>MITRA PAL SINGH</t>
  </si>
  <si>
    <t>GAJENDRA SINGH RAJPUT</t>
  </si>
  <si>
    <t>RAKESH KUMAR</t>
  </si>
  <si>
    <t>NARENDRA KUMAR</t>
  </si>
  <si>
    <t>SANJEEV</t>
  </si>
  <si>
    <t>MOHD NOMAAN</t>
  </si>
  <si>
    <t>SARFARAZ AHMAD</t>
  </si>
  <si>
    <t>RAKESH CHAHAR</t>
  </si>
  <si>
    <t>RAJKUMAR</t>
  </si>
  <si>
    <t>ANIL CHAUHAN</t>
  </si>
  <si>
    <t>CHCPT9237M</t>
  </si>
  <si>
    <t>ASHOK KUMAR</t>
  </si>
  <si>
    <t>SANJEEV KUMAR JHA</t>
  </si>
  <si>
    <t>CWCPJ7721B</t>
  </si>
  <si>
    <t>CHANDAN BANERJEE</t>
  </si>
  <si>
    <t>DJSPB0954E</t>
  </si>
  <si>
    <t>PREMCHAND CHAUHAN</t>
  </si>
  <si>
    <t>CCRPC0482P</t>
  </si>
  <si>
    <t>PADMESH KUMAR SINGH</t>
  </si>
  <si>
    <t>ARPIT YADAV</t>
  </si>
  <si>
    <t>LAKSHAY MAAN</t>
  </si>
  <si>
    <t>RAVI KUMAR SINGH</t>
  </si>
  <si>
    <t>PENDING</t>
  </si>
  <si>
    <t>BIBPY2239P</t>
  </si>
  <si>
    <t>ANIL KUMAR</t>
  </si>
  <si>
    <t>PREMOD KUMAR SINGH</t>
  </si>
  <si>
    <t>OPUPS9339F</t>
  </si>
  <si>
    <t>HVXPM2542E</t>
  </si>
  <si>
    <t>SATENDRA KUMAR</t>
  </si>
  <si>
    <t>RAJENDRA SINGH</t>
  </si>
  <si>
    <t>OLHPS8179G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</si>
</sst>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24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6"/>
      <name val="Arial"/>
      <family val="2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3" borderId="0" applyNumberFormat="0" applyBorder="0" applyAlignment="0" applyProtection="0"/>
    <xf numFmtId="43" fontId="14" fillId="0" borderId="0" applyFont="0" applyFill="0" applyBorder="0" applyAlignment="0" applyProtection="0"/>
  </cellStyleXfs>
  <cellXfs count="179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2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/>
    <xf numFmtId="1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4" borderId="0" xfId="0" applyFont="1" applyFill="1"/>
    <xf numFmtId="0" fontId="9" fillId="0" borderId="1" xfId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7" fillId="0" borderId="0" xfId="0" applyFont="1"/>
    <xf numFmtId="0" fontId="9" fillId="0" borderId="0" xfId="0" applyFont="1"/>
    <xf numFmtId="0" fontId="13" fillId="0" borderId="1" xfId="0" applyFont="1" applyBorder="1" applyAlignment="1">
      <alignment horizontal="left"/>
    </xf>
    <xf numFmtId="14" fontId="9" fillId="0" borderId="1" xfId="0" quotePrefix="1" applyNumberFormat="1" applyFont="1" applyBorder="1" applyAlignment="1">
      <alignment horizontal="center"/>
    </xf>
    <xf numFmtId="14" fontId="9" fillId="0" borderId="1" xfId="0" quotePrefix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left" vertical="center" wrapText="1"/>
    </xf>
    <xf numFmtId="14" fontId="9" fillId="4" borderId="1" xfId="0" quotePrefix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quotePrefix="1" applyFont="1" applyBorder="1" applyAlignment="1">
      <alignment horizontal="center"/>
    </xf>
    <xf numFmtId="0" fontId="12" fillId="0" borderId="1" xfId="0" applyFont="1" applyBorder="1"/>
    <xf numFmtId="0" fontId="9" fillId="0" borderId="3" xfId="0" quotePrefix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14" fontId="9" fillId="0" borderId="3" xfId="0" quotePrefix="1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/>
    </xf>
    <xf numFmtId="1" fontId="7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14" fontId="6" fillId="0" borderId="1" xfId="0" quotePrefix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/>
    <xf numFmtId="1" fontId="13" fillId="0" borderId="1" xfId="0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3" fillId="0" borderId="1" xfId="0" applyFont="1" applyBorder="1" applyAlignment="1">
      <alignment horizontal="left" vertical="center"/>
    </xf>
    <xf numFmtId="14" fontId="13" fillId="0" borderId="1" xfId="0" quotePrefix="1" applyNumberFormat="1" applyFont="1" applyBorder="1" applyAlignment="1">
      <alignment horizontal="center"/>
    </xf>
    <xf numFmtId="0" fontId="13" fillId="0" borderId="1" xfId="0" quotePrefix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3" fillId="4" borderId="1" xfId="0" quotePrefix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43" fontId="7" fillId="0" borderId="1" xfId="2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43" fontId="9" fillId="0" borderId="1" xfId="2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 wrapText="1"/>
    </xf>
    <xf numFmtId="43" fontId="7" fillId="0" borderId="1" xfId="2" applyFont="1" applyBorder="1" applyAlignment="1">
      <alignment horizontal="center"/>
    </xf>
    <xf numFmtId="164" fontId="6" fillId="7" borderId="1" xfId="0" applyNumberFormat="1" applyFont="1" applyFill="1" applyBorder="1" applyAlignment="1">
      <alignment vertical="center"/>
    </xf>
    <xf numFmtId="164" fontId="8" fillId="7" borderId="1" xfId="0" applyNumberFormat="1" applyFont="1" applyFill="1" applyBorder="1"/>
    <xf numFmtId="164" fontId="8" fillId="7" borderId="1" xfId="0" applyNumberFormat="1" applyFont="1" applyFill="1" applyBorder="1" applyAlignment="1">
      <alignment vertical="center"/>
    </xf>
    <xf numFmtId="164" fontId="8" fillId="7" borderId="1" xfId="0" applyNumberFormat="1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43" fontId="13" fillId="0" borderId="1" xfId="2" applyFont="1" applyFill="1" applyBorder="1" applyAlignment="1">
      <alignment horizontal="left"/>
    </xf>
    <xf numFmtId="164" fontId="2" fillId="7" borderId="1" xfId="0" applyNumberFormat="1" applyFont="1" applyFill="1" applyBorder="1"/>
    <xf numFmtId="164" fontId="6" fillId="7" borderId="1" xfId="0" applyNumberFormat="1" applyFont="1" applyFill="1" applyBorder="1"/>
    <xf numFmtId="164" fontId="2" fillId="7" borderId="1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horizontal="center" vertical="center"/>
    </xf>
    <xf numFmtId="43" fontId="7" fillId="0" borderId="1" xfId="2" applyFont="1" applyFill="1" applyBorder="1" applyAlignment="1">
      <alignment horizontal="left"/>
    </xf>
    <xf numFmtId="1" fontId="9" fillId="7" borderId="1" xfId="0" applyNumberFormat="1" applyFont="1" applyFill="1" applyBorder="1" applyAlignment="1">
      <alignment horizontal="center"/>
    </xf>
    <xf numFmtId="1" fontId="9" fillId="7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43" fontId="9" fillId="0" borderId="1" xfId="2" applyFont="1" applyBorder="1" applyAlignment="1">
      <alignment horizontal="center" vertical="center"/>
    </xf>
    <xf numFmtId="43" fontId="9" fillId="0" borderId="1" xfId="2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/>
    </xf>
    <xf numFmtId="164" fontId="7" fillId="7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/>
    </xf>
    <xf numFmtId="1" fontId="9" fillId="6" borderId="1" xfId="0" applyNumberFormat="1" applyFont="1" applyFill="1" applyBorder="1" applyAlignment="1">
      <alignment horizontal="center" vertical="center"/>
    </xf>
    <xf numFmtId="0" fontId="9" fillId="6" borderId="1" xfId="0" quotePrefix="1" applyFont="1" applyFill="1" applyBorder="1" applyAlignment="1">
      <alignment horizontal="center" vertical="center"/>
    </xf>
    <xf numFmtId="43" fontId="7" fillId="6" borderId="1" xfId="2" applyFont="1" applyFill="1" applyBorder="1" applyAlignment="1">
      <alignment horizontal="center"/>
    </xf>
    <xf numFmtId="43" fontId="9" fillId="6" borderId="1" xfId="2" applyFont="1" applyFill="1" applyBorder="1" applyAlignment="1">
      <alignment horizontal="left"/>
    </xf>
    <xf numFmtId="0" fontId="9" fillId="6" borderId="4" xfId="0" applyFont="1" applyFill="1" applyBorder="1" applyAlignment="1">
      <alignment horizontal="center" vertical="center"/>
    </xf>
    <xf numFmtId="14" fontId="9" fillId="6" borderId="1" xfId="0" quotePrefix="1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/>
    </xf>
    <xf numFmtId="0" fontId="9" fillId="6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43" fontId="7" fillId="0" borderId="1" xfId="2" applyFont="1" applyFill="1" applyBorder="1" applyAlignment="1">
      <alignment horizontal="center"/>
    </xf>
    <xf numFmtId="1" fontId="13" fillId="7" borderId="1" xfId="0" applyNumberFormat="1" applyFont="1" applyFill="1" applyBorder="1" applyAlignment="1">
      <alignment horizontal="center" vertical="center"/>
    </xf>
    <xf numFmtId="0" fontId="9" fillId="7" borderId="1" xfId="0" quotePrefix="1" applyFont="1" applyFill="1" applyBorder="1" applyAlignment="1">
      <alignment horizontal="center" vertical="center"/>
    </xf>
    <xf numFmtId="0" fontId="13" fillId="7" borderId="1" xfId="0" quotePrefix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1" fontId="2" fillId="2" borderId="0" xfId="0" applyNumberFormat="1" applyFont="1" applyFill="1"/>
    <xf numFmtId="1" fontId="6" fillId="7" borderId="1" xfId="0" applyNumberFormat="1" applyFont="1" applyFill="1" applyBorder="1" applyAlignment="1">
      <alignment horizontal="center" vertical="center"/>
    </xf>
    <xf numFmtId="0" fontId="6" fillId="7" borderId="1" xfId="0" quotePrefix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</cellXfs>
  <cellStyles count="3">
    <cellStyle name="Comma" xfId="2" builtinId="3"/>
    <cellStyle name="Neutral" xfId="1" builtinId="2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I62"/>
  <sheetViews>
    <sheetView tabSelected="1" topLeftCell="M4" zoomScale="79" zoomScaleNormal="80" zoomScaleSheetLayoutView="70" workbookViewId="0">
      <selection activeCell="I4" sqref="I1:M1048576"/>
    </sheetView>
  </sheetViews>
  <sheetFormatPr defaultColWidth="9.33203125" defaultRowHeight="18" x14ac:dyDescent="0.35"/>
  <cols>
    <col min="1" max="1" width="5.44140625" style="1" customWidth="1"/>
    <col min="2" max="2" width="37.5546875" style="2" bestFit="1" customWidth="1"/>
    <col min="3" max="3" width="18.33203125" style="3" customWidth="1"/>
    <col min="4" max="4" width="14.33203125" style="10" customWidth="1"/>
    <col min="5" max="5" width="38" style="1" customWidth="1"/>
    <col min="6" max="6" width="18" style="3" customWidth="1"/>
    <col min="7" max="7" width="12.33203125" style="3" customWidth="1"/>
    <col min="8" max="8" width="16" style="3" customWidth="1"/>
    <col min="9" max="10" width="18.109375" style="3" customWidth="1"/>
    <col min="11" max="11" width="17.88671875" style="3" customWidth="1"/>
    <col min="12" max="12" width="13.44140625" style="1" customWidth="1"/>
    <col min="13" max="13" width="13" style="3" customWidth="1"/>
    <col min="14" max="14" width="8.44140625" style="3" customWidth="1"/>
    <col min="15" max="15" width="9.44140625" style="3" customWidth="1"/>
    <col min="16" max="16" width="13.109375" style="3" customWidth="1"/>
    <col min="17" max="17" width="9.44140625" style="1" customWidth="1"/>
    <col min="18" max="18" width="11.33203125" style="1" customWidth="1"/>
    <col min="19" max="19" width="13" style="1" customWidth="1"/>
    <col min="20" max="21" width="9.88671875" style="1" customWidth="1"/>
    <col min="22" max="22" width="13.109375" style="1" customWidth="1"/>
    <col min="23" max="23" width="11.33203125" style="1" customWidth="1"/>
    <col min="24" max="25" width="10.88671875" style="1" customWidth="1"/>
    <col min="26" max="26" width="8.44140625" style="1" customWidth="1"/>
    <col min="27" max="27" width="7.6640625" style="1" customWidth="1"/>
    <col min="28" max="28" width="10.88671875" style="1" customWidth="1"/>
    <col min="29" max="29" width="11.44140625" style="3" customWidth="1"/>
    <col min="30" max="30" width="13.109375" style="1" customWidth="1"/>
    <col min="31" max="31" width="12.44140625" style="1" customWidth="1"/>
    <col min="32" max="32" width="32" style="1" customWidth="1"/>
    <col min="33" max="33" width="59.44140625" style="53" customWidth="1"/>
    <col min="34" max="34" width="9.33203125" style="1"/>
    <col min="35" max="35" width="16.44140625" style="1" bestFit="1" customWidth="1"/>
    <col min="36" max="16384" width="9.33203125" style="1"/>
  </cols>
  <sheetData>
    <row r="1" spans="1:33" s="2" customFormat="1" ht="40.5" customHeight="1" x14ac:dyDescent="0.35">
      <c r="A1" s="19" t="s">
        <v>185</v>
      </c>
      <c r="B1" s="20"/>
      <c r="C1" s="20"/>
      <c r="D1" s="20"/>
      <c r="E1" s="20"/>
      <c r="F1" s="54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49"/>
    </row>
    <row r="2" spans="1:33" s="2" customFormat="1" ht="18.75" customHeight="1" x14ac:dyDescent="0.35">
      <c r="A2" s="22" t="s">
        <v>184</v>
      </c>
      <c r="B2" s="20"/>
      <c r="C2" s="20"/>
      <c r="D2" s="20"/>
      <c r="E2" s="93"/>
      <c r="F2" s="55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50"/>
    </row>
    <row r="3" spans="1:33" ht="21" customHeight="1" x14ac:dyDescent="0.35">
      <c r="A3" s="23">
        <v>30</v>
      </c>
      <c r="B3" s="22"/>
      <c r="C3" s="22"/>
      <c r="D3" s="22"/>
      <c r="E3" s="22"/>
      <c r="F3" s="56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"/>
      <c r="T3" s="2"/>
      <c r="U3" s="2"/>
      <c r="V3" s="2"/>
      <c r="W3" s="2"/>
      <c r="X3" s="2"/>
      <c r="Y3" s="2"/>
      <c r="Z3" s="2"/>
      <c r="AA3" s="2"/>
      <c r="AB3" s="2"/>
      <c r="AC3" s="21"/>
      <c r="AD3" s="2"/>
      <c r="AE3" s="2"/>
      <c r="AF3" s="2"/>
      <c r="AG3" s="49"/>
    </row>
    <row r="4" spans="1:33" ht="18.75" customHeight="1" x14ac:dyDescent="0.35">
      <c r="A4" s="173" t="s">
        <v>45</v>
      </c>
      <c r="B4" s="175" t="s">
        <v>2</v>
      </c>
      <c r="C4" s="174" t="s">
        <v>3</v>
      </c>
      <c r="D4" s="176" t="s">
        <v>4</v>
      </c>
      <c r="E4" s="4" t="s">
        <v>5</v>
      </c>
      <c r="F4" s="4" t="s">
        <v>6</v>
      </c>
      <c r="G4" s="174" t="s">
        <v>84</v>
      </c>
      <c r="H4" s="32" t="s">
        <v>100</v>
      </c>
      <c r="I4" s="32"/>
      <c r="J4" s="32"/>
      <c r="K4" s="126">
        <v>46113</v>
      </c>
      <c r="L4" s="4" t="s">
        <v>7</v>
      </c>
      <c r="M4" s="4" t="s">
        <v>55</v>
      </c>
      <c r="N4" s="4" t="s">
        <v>8</v>
      </c>
      <c r="O4" s="8" t="s">
        <v>9</v>
      </c>
      <c r="P4" s="8" t="s">
        <v>56</v>
      </c>
      <c r="Q4" s="5"/>
      <c r="R4" s="4" t="s">
        <v>7</v>
      </c>
      <c r="S4" s="4" t="s">
        <v>55</v>
      </c>
      <c r="T4" s="4" t="s">
        <v>8</v>
      </c>
      <c r="U4" s="8" t="s">
        <v>9</v>
      </c>
      <c r="V4" s="8" t="s">
        <v>56</v>
      </c>
      <c r="W4" s="9" t="s">
        <v>7</v>
      </c>
      <c r="X4" s="177" t="s">
        <v>10</v>
      </c>
      <c r="Y4" s="177"/>
      <c r="Z4" s="177"/>
      <c r="AA4" s="177"/>
      <c r="AB4" s="4" t="s">
        <v>11</v>
      </c>
      <c r="AC4" s="4" t="s">
        <v>12</v>
      </c>
      <c r="AD4" s="173" t="s">
        <v>13</v>
      </c>
      <c r="AE4" s="173" t="s">
        <v>14</v>
      </c>
      <c r="AF4" s="178" t="s">
        <v>74</v>
      </c>
      <c r="AG4" s="174" t="s">
        <v>63</v>
      </c>
    </row>
    <row r="5" spans="1:33" s="7" customFormat="1" ht="51" customHeight="1" x14ac:dyDescent="0.3">
      <c r="A5" s="173"/>
      <c r="B5" s="175"/>
      <c r="C5" s="174"/>
      <c r="D5" s="176"/>
      <c r="E5" s="57"/>
      <c r="F5" s="172" t="s">
        <v>15</v>
      </c>
      <c r="G5" s="174"/>
      <c r="H5" s="32" t="s">
        <v>102</v>
      </c>
      <c r="I5" s="32" t="s">
        <v>199</v>
      </c>
      <c r="J5" s="32" t="s">
        <v>200</v>
      </c>
      <c r="K5" s="32" t="s">
        <v>197</v>
      </c>
      <c r="L5" s="32" t="s">
        <v>196</v>
      </c>
      <c r="M5" s="57" t="s">
        <v>16</v>
      </c>
      <c r="N5" s="57" t="s">
        <v>16</v>
      </c>
      <c r="O5" s="57" t="s">
        <v>16</v>
      </c>
      <c r="P5" s="57" t="s">
        <v>17</v>
      </c>
      <c r="Q5" s="57"/>
      <c r="R5" s="32" t="s">
        <v>157</v>
      </c>
      <c r="S5" s="57" t="s">
        <v>16</v>
      </c>
      <c r="T5" s="57" t="s">
        <v>16</v>
      </c>
      <c r="U5" s="57" t="s">
        <v>16</v>
      </c>
      <c r="V5" s="57" t="s">
        <v>17</v>
      </c>
      <c r="W5" s="60" t="s">
        <v>16</v>
      </c>
      <c r="X5" s="57" t="s">
        <v>18</v>
      </c>
      <c r="Y5" s="57" t="s">
        <v>19</v>
      </c>
      <c r="Z5" s="57" t="s">
        <v>20</v>
      </c>
      <c r="AA5" s="57" t="s">
        <v>21</v>
      </c>
      <c r="AB5" s="57" t="s">
        <v>22</v>
      </c>
      <c r="AC5" s="57" t="s">
        <v>23</v>
      </c>
      <c r="AD5" s="173"/>
      <c r="AE5" s="173"/>
      <c r="AF5" s="178"/>
      <c r="AG5" s="174"/>
    </row>
    <row r="6" spans="1:33" x14ac:dyDescent="0.35">
      <c r="A6" s="12"/>
      <c r="B6" s="13" t="s">
        <v>73</v>
      </c>
      <c r="C6" s="12"/>
      <c r="D6" s="14"/>
      <c r="E6" s="15"/>
      <c r="F6" s="12"/>
      <c r="G6" s="12"/>
      <c r="H6" s="12"/>
      <c r="I6" s="12"/>
      <c r="J6" s="12"/>
      <c r="K6" s="12"/>
      <c r="L6" s="15" t="s">
        <v>73</v>
      </c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2"/>
      <c r="AD6" s="15"/>
      <c r="AE6" s="15"/>
      <c r="AF6" s="15"/>
      <c r="AG6" s="51"/>
    </row>
    <row r="7" spans="1:33" s="62" customFormat="1" x14ac:dyDescent="0.35">
      <c r="A7" s="28">
        <v>1</v>
      </c>
      <c r="B7" s="39" t="s">
        <v>24</v>
      </c>
      <c r="C7" s="72" t="s">
        <v>25</v>
      </c>
      <c r="D7" s="73">
        <v>37439</v>
      </c>
      <c r="E7" s="74" t="s">
        <v>26</v>
      </c>
      <c r="F7" s="6">
        <v>1230</v>
      </c>
      <c r="G7" s="75">
        <v>44621</v>
      </c>
      <c r="H7" s="75">
        <v>44958</v>
      </c>
      <c r="I7" s="127">
        <v>1</v>
      </c>
      <c r="J7" s="127">
        <v>1.5</v>
      </c>
      <c r="K7" s="122">
        <v>29</v>
      </c>
      <c r="L7" s="133">
        <v>30</v>
      </c>
      <c r="M7" s="6">
        <v>18995</v>
      </c>
      <c r="N7" s="6">
        <f>15196+9</f>
        <v>15205</v>
      </c>
      <c r="O7" s="6">
        <f>3799+1</f>
        <v>3800</v>
      </c>
      <c r="P7" s="6">
        <v>0</v>
      </c>
      <c r="Q7" s="6">
        <f t="shared" ref="Q7:Q20" si="0">M7+N7+O7+P7</f>
        <v>38000</v>
      </c>
      <c r="R7" s="6">
        <f t="shared" ref="R7:R20" si="1">Q7</f>
        <v>38000</v>
      </c>
      <c r="S7" s="16">
        <f t="shared" ref="S7:S12" si="2">ROUND(M7/$A$3*L7,0)</f>
        <v>18995</v>
      </c>
      <c r="T7" s="16">
        <f t="shared" ref="T7:T12" si="3">ROUND(N7/$A$3*L7,0)</f>
        <v>15205</v>
      </c>
      <c r="U7" s="16">
        <f t="shared" ref="U7:U12" si="4">ROUND(O7/$A$3*L7,0)</f>
        <v>3800</v>
      </c>
      <c r="V7" s="16">
        <f t="shared" ref="V7:V12" si="5">ROUND(P7/$A$3*L7,0)</f>
        <v>0</v>
      </c>
      <c r="W7" s="16">
        <f t="shared" ref="W7:W20" si="6">S7+T7+U7+V7</f>
        <v>38000</v>
      </c>
      <c r="X7" s="17">
        <f>ROUND(IF(M7&gt;15000,(15000/$A$3*L7)*12%,S7*12%)*1,0)</f>
        <v>1800</v>
      </c>
      <c r="Y7" s="76">
        <v>0</v>
      </c>
      <c r="Z7" s="90">
        <v>0</v>
      </c>
      <c r="AA7" s="6">
        <v>0</v>
      </c>
      <c r="AB7" s="16">
        <f>X7+Y7+Z7+AA7</f>
        <v>1800</v>
      </c>
      <c r="AC7" s="91">
        <f>W7-AB7</f>
        <v>36200</v>
      </c>
      <c r="AD7" s="136">
        <v>2</v>
      </c>
      <c r="AE7" s="136">
        <v>1</v>
      </c>
      <c r="AF7" s="6"/>
      <c r="AG7" s="38"/>
    </row>
    <row r="8" spans="1:33" s="63" customFormat="1" x14ac:dyDescent="0.35">
      <c r="A8" s="28">
        <v>2</v>
      </c>
      <c r="B8" s="39" t="s">
        <v>32</v>
      </c>
      <c r="C8" s="11" t="s">
        <v>33</v>
      </c>
      <c r="D8" s="26">
        <v>32697</v>
      </c>
      <c r="E8" s="77" t="s">
        <v>34</v>
      </c>
      <c r="F8" s="11">
        <v>1229</v>
      </c>
      <c r="G8" s="75">
        <v>45005</v>
      </c>
      <c r="H8" s="75" t="s">
        <v>27</v>
      </c>
      <c r="I8" s="127">
        <v>20.5</v>
      </c>
      <c r="J8" s="127">
        <v>0</v>
      </c>
      <c r="K8" s="122">
        <v>30</v>
      </c>
      <c r="L8" s="134">
        <v>30</v>
      </c>
      <c r="M8" s="11">
        <v>27600</v>
      </c>
      <c r="N8" s="11">
        <v>22080</v>
      </c>
      <c r="O8" s="11">
        <v>5520</v>
      </c>
      <c r="P8" s="11">
        <v>0</v>
      </c>
      <c r="Q8" s="11">
        <f t="shared" si="0"/>
        <v>55200</v>
      </c>
      <c r="R8" s="11">
        <f t="shared" si="1"/>
        <v>55200</v>
      </c>
      <c r="S8" s="76">
        <f t="shared" si="2"/>
        <v>27600</v>
      </c>
      <c r="T8" s="76">
        <f t="shared" si="3"/>
        <v>22080</v>
      </c>
      <c r="U8" s="76">
        <f t="shared" si="4"/>
        <v>5520</v>
      </c>
      <c r="V8" s="76">
        <f t="shared" si="5"/>
        <v>0</v>
      </c>
      <c r="W8" s="76">
        <f t="shared" si="6"/>
        <v>55200</v>
      </c>
      <c r="X8" s="17">
        <v>0</v>
      </c>
      <c r="Y8" s="76">
        <v>0</v>
      </c>
      <c r="Z8" s="78">
        <v>0</v>
      </c>
      <c r="AA8" s="11">
        <v>0</v>
      </c>
      <c r="AB8" s="76">
        <f t="shared" ref="AB8:AB20" si="7">X8+Y8+Z8+AA8</f>
        <v>0</v>
      </c>
      <c r="AC8" s="92">
        <f t="shared" ref="AC8:AC20" si="8">W8-AB8</f>
        <v>55200</v>
      </c>
      <c r="AD8" s="137">
        <v>21.5</v>
      </c>
      <c r="AE8" s="137">
        <v>0.5</v>
      </c>
      <c r="AF8" s="11"/>
      <c r="AG8" s="39"/>
    </row>
    <row r="9" spans="1:33" s="63" customFormat="1" x14ac:dyDescent="0.35">
      <c r="A9" s="28">
        <v>3</v>
      </c>
      <c r="B9" s="39" t="s">
        <v>35</v>
      </c>
      <c r="C9" s="11" t="s">
        <v>36</v>
      </c>
      <c r="D9" s="26">
        <v>37446</v>
      </c>
      <c r="E9" s="77" t="s">
        <v>37</v>
      </c>
      <c r="F9" s="11">
        <v>697</v>
      </c>
      <c r="G9" s="75">
        <v>45139</v>
      </c>
      <c r="H9" s="75">
        <v>45139</v>
      </c>
      <c r="I9" s="127">
        <v>11</v>
      </c>
      <c r="J9" s="127">
        <v>0</v>
      </c>
      <c r="K9" s="122">
        <v>29.5</v>
      </c>
      <c r="L9" s="134">
        <v>30</v>
      </c>
      <c r="M9" s="11">
        <v>35055</v>
      </c>
      <c r="N9" s="11">
        <f>28044-99</f>
        <v>27945</v>
      </c>
      <c r="O9" s="11">
        <f>7011-11</f>
        <v>7000</v>
      </c>
      <c r="P9" s="11">
        <v>0</v>
      </c>
      <c r="Q9" s="11">
        <f t="shared" si="0"/>
        <v>70000</v>
      </c>
      <c r="R9" s="11">
        <f t="shared" si="1"/>
        <v>70000</v>
      </c>
      <c r="S9" s="76">
        <f t="shared" si="2"/>
        <v>35055</v>
      </c>
      <c r="T9" s="76">
        <f t="shared" si="3"/>
        <v>27945</v>
      </c>
      <c r="U9" s="76">
        <f t="shared" si="4"/>
        <v>7000</v>
      </c>
      <c r="V9" s="76">
        <f t="shared" si="5"/>
        <v>0</v>
      </c>
      <c r="W9" s="76">
        <f t="shared" si="6"/>
        <v>70000</v>
      </c>
      <c r="X9" s="17">
        <f>ROUND(IF(M9&gt;15000,(15000/$A$3*L9)*12%,S9*12%)*1,0)</f>
        <v>1800</v>
      </c>
      <c r="Y9" s="76">
        <v>0</v>
      </c>
      <c r="Z9" s="78">
        <v>0</v>
      </c>
      <c r="AA9" s="11">
        <v>0</v>
      </c>
      <c r="AB9" s="76">
        <f t="shared" si="7"/>
        <v>1800</v>
      </c>
      <c r="AC9" s="92">
        <f t="shared" si="8"/>
        <v>68200</v>
      </c>
      <c r="AD9" s="137">
        <v>12</v>
      </c>
      <c r="AE9" s="137">
        <v>0</v>
      </c>
      <c r="AF9" s="11"/>
      <c r="AG9" s="39"/>
    </row>
    <row r="10" spans="1:33" s="63" customFormat="1" x14ac:dyDescent="0.35">
      <c r="A10" s="28">
        <v>4</v>
      </c>
      <c r="B10" s="39" t="s">
        <v>38</v>
      </c>
      <c r="C10" s="11" t="s">
        <v>61</v>
      </c>
      <c r="D10" s="26">
        <v>34967</v>
      </c>
      <c r="E10" s="77" t="s">
        <v>39</v>
      </c>
      <c r="F10" s="11">
        <v>473</v>
      </c>
      <c r="G10" s="75">
        <v>45294</v>
      </c>
      <c r="H10" s="75">
        <v>45294</v>
      </c>
      <c r="I10" s="127">
        <v>12.5</v>
      </c>
      <c r="J10" s="127">
        <v>0</v>
      </c>
      <c r="K10" s="122">
        <v>29</v>
      </c>
      <c r="L10" s="134">
        <v>30</v>
      </c>
      <c r="M10" s="17">
        <f>14375+1655</f>
        <v>16030</v>
      </c>
      <c r="N10" s="24">
        <v>11500</v>
      </c>
      <c r="O10" s="25">
        <f>2875-1655</f>
        <v>1220</v>
      </c>
      <c r="P10" s="11">
        <v>0</v>
      </c>
      <c r="Q10" s="11">
        <f t="shared" si="0"/>
        <v>28750</v>
      </c>
      <c r="R10" s="11">
        <f t="shared" si="1"/>
        <v>28750</v>
      </c>
      <c r="S10" s="76">
        <f t="shared" si="2"/>
        <v>16030</v>
      </c>
      <c r="T10" s="76">
        <f t="shared" si="3"/>
        <v>11500</v>
      </c>
      <c r="U10" s="76">
        <f t="shared" si="4"/>
        <v>1220</v>
      </c>
      <c r="V10" s="76">
        <f t="shared" si="5"/>
        <v>0</v>
      </c>
      <c r="W10" s="76">
        <f t="shared" si="6"/>
        <v>28750</v>
      </c>
      <c r="X10" s="17">
        <f>ROUND(IF(M10&gt;15000,(15000/$A$3*L10)*12%,S10*12%)*1,0)</f>
        <v>1800</v>
      </c>
      <c r="Y10" s="99">
        <v>0</v>
      </c>
      <c r="Z10" s="78">
        <v>0</v>
      </c>
      <c r="AA10" s="11">
        <v>0</v>
      </c>
      <c r="AB10" s="76">
        <f t="shared" si="7"/>
        <v>1800</v>
      </c>
      <c r="AC10" s="92">
        <f t="shared" si="8"/>
        <v>26950</v>
      </c>
      <c r="AD10" s="137">
        <v>13</v>
      </c>
      <c r="AE10" s="137">
        <v>0</v>
      </c>
      <c r="AF10" s="11"/>
      <c r="AG10" s="39"/>
    </row>
    <row r="11" spans="1:33" s="63" customFormat="1" x14ac:dyDescent="0.35">
      <c r="A11" s="28">
        <v>5</v>
      </c>
      <c r="B11" s="39" t="s">
        <v>40</v>
      </c>
      <c r="C11" s="11" t="s">
        <v>41</v>
      </c>
      <c r="D11" s="26">
        <v>36101</v>
      </c>
      <c r="E11" s="77" t="s">
        <v>42</v>
      </c>
      <c r="F11" s="11">
        <v>408</v>
      </c>
      <c r="G11" s="75">
        <v>45392</v>
      </c>
      <c r="H11" s="75">
        <v>45401</v>
      </c>
      <c r="I11" s="127">
        <v>11.5</v>
      </c>
      <c r="J11" s="127">
        <v>0.5</v>
      </c>
      <c r="K11" s="122">
        <v>22.5</v>
      </c>
      <c r="L11" s="134">
        <v>30</v>
      </c>
      <c r="M11" s="11">
        <f>15444+586</f>
        <v>16030</v>
      </c>
      <c r="N11" s="11">
        <v>12355</v>
      </c>
      <c r="O11" s="11">
        <f>3089-586</f>
        <v>2503</v>
      </c>
      <c r="P11" s="11">
        <v>0</v>
      </c>
      <c r="Q11" s="11">
        <f t="shared" si="0"/>
        <v>30888</v>
      </c>
      <c r="R11" s="11">
        <f t="shared" si="1"/>
        <v>30888</v>
      </c>
      <c r="S11" s="76">
        <f t="shared" si="2"/>
        <v>16030</v>
      </c>
      <c r="T11" s="76">
        <f t="shared" si="3"/>
        <v>12355</v>
      </c>
      <c r="U11" s="76">
        <f t="shared" si="4"/>
        <v>2503</v>
      </c>
      <c r="V11" s="76">
        <f t="shared" si="5"/>
        <v>0</v>
      </c>
      <c r="W11" s="76">
        <f t="shared" si="6"/>
        <v>30888</v>
      </c>
      <c r="X11" s="17">
        <f t="shared" ref="X11:X12" si="9">ROUND(IF(M11&gt;15000,(15000/$A$3*L11)*12%,S11*12%)*1,0)</f>
        <v>1800</v>
      </c>
      <c r="Y11" s="76">
        <v>0</v>
      </c>
      <c r="Z11" s="78">
        <v>0</v>
      </c>
      <c r="AA11" s="11">
        <v>0</v>
      </c>
      <c r="AB11" s="76">
        <f t="shared" si="7"/>
        <v>1800</v>
      </c>
      <c r="AC11" s="92">
        <f t="shared" si="8"/>
        <v>29088</v>
      </c>
      <c r="AD11" s="137">
        <v>6</v>
      </c>
      <c r="AE11" s="137">
        <v>0</v>
      </c>
      <c r="AF11" s="11"/>
      <c r="AG11" s="39"/>
    </row>
    <row r="12" spans="1:33" s="63" customFormat="1" x14ac:dyDescent="0.35">
      <c r="A12" s="28">
        <v>6</v>
      </c>
      <c r="B12" s="39" t="s">
        <v>43</v>
      </c>
      <c r="C12" s="11" t="s">
        <v>116</v>
      </c>
      <c r="D12" s="26">
        <v>37697</v>
      </c>
      <c r="E12" s="77" t="s">
        <v>44</v>
      </c>
      <c r="F12" s="11">
        <v>376</v>
      </c>
      <c r="G12" s="75">
        <v>45440</v>
      </c>
      <c r="H12" s="75">
        <v>45441</v>
      </c>
      <c r="I12" s="127">
        <v>15.5</v>
      </c>
      <c r="J12" s="127">
        <v>0</v>
      </c>
      <c r="K12" s="122">
        <v>30</v>
      </c>
      <c r="L12" s="134">
        <v>30</v>
      </c>
      <c r="M12" s="17">
        <f>14950+1080</f>
        <v>16030</v>
      </c>
      <c r="N12" s="24">
        <v>12800</v>
      </c>
      <c r="O12" s="25">
        <f>3200-30</f>
        <v>3170</v>
      </c>
      <c r="P12" s="11">
        <v>0</v>
      </c>
      <c r="Q12" s="11">
        <f t="shared" si="0"/>
        <v>32000</v>
      </c>
      <c r="R12" s="11">
        <f t="shared" si="1"/>
        <v>32000</v>
      </c>
      <c r="S12" s="76">
        <f t="shared" si="2"/>
        <v>16030</v>
      </c>
      <c r="T12" s="76">
        <f t="shared" si="3"/>
        <v>12800</v>
      </c>
      <c r="U12" s="76">
        <f t="shared" si="4"/>
        <v>3170</v>
      </c>
      <c r="V12" s="76">
        <f t="shared" si="5"/>
        <v>0</v>
      </c>
      <c r="W12" s="76">
        <f t="shared" si="6"/>
        <v>32000</v>
      </c>
      <c r="X12" s="17">
        <f t="shared" si="9"/>
        <v>1800</v>
      </c>
      <c r="Y12" s="76">
        <v>0</v>
      </c>
      <c r="Z12" s="78">
        <v>0</v>
      </c>
      <c r="AA12" s="11">
        <v>0</v>
      </c>
      <c r="AB12" s="76">
        <f t="shared" si="7"/>
        <v>1800</v>
      </c>
      <c r="AC12" s="92">
        <f t="shared" si="8"/>
        <v>30200</v>
      </c>
      <c r="AD12" s="137">
        <v>16.5</v>
      </c>
      <c r="AE12" s="137">
        <v>0.5</v>
      </c>
      <c r="AF12" s="11"/>
      <c r="AG12" s="39"/>
    </row>
    <row r="13" spans="1:33" s="63" customFormat="1" x14ac:dyDescent="0.35">
      <c r="A13" s="28">
        <v>7</v>
      </c>
      <c r="B13" s="77" t="s">
        <v>46</v>
      </c>
      <c r="C13" s="11" t="s">
        <v>47</v>
      </c>
      <c r="D13" s="26">
        <v>35276</v>
      </c>
      <c r="E13" s="77" t="s">
        <v>48</v>
      </c>
      <c r="F13" s="11">
        <v>246</v>
      </c>
      <c r="G13" s="75">
        <v>45566</v>
      </c>
      <c r="H13" s="75">
        <v>45566</v>
      </c>
      <c r="I13" s="127">
        <v>9</v>
      </c>
      <c r="J13" s="127">
        <v>1.5</v>
      </c>
      <c r="K13" s="122">
        <v>30</v>
      </c>
      <c r="L13" s="134">
        <v>30</v>
      </c>
      <c r="M13" s="11">
        <v>20125</v>
      </c>
      <c r="N13" s="11">
        <v>16100</v>
      </c>
      <c r="O13" s="11">
        <v>4025</v>
      </c>
      <c r="P13" s="11">
        <v>0</v>
      </c>
      <c r="Q13" s="11">
        <f t="shared" si="0"/>
        <v>40250</v>
      </c>
      <c r="R13" s="11">
        <f t="shared" si="1"/>
        <v>40250</v>
      </c>
      <c r="S13" s="76">
        <f t="shared" ref="S13:S22" si="10">ROUND(M13/$A$3*L13,0)</f>
        <v>20125</v>
      </c>
      <c r="T13" s="76">
        <f t="shared" ref="T13:T22" si="11">ROUND(N13/$A$3*L13,0)</f>
        <v>16100</v>
      </c>
      <c r="U13" s="76">
        <f t="shared" ref="U13:U22" si="12">ROUND(O13/$A$3*L13,0)</f>
        <v>4025</v>
      </c>
      <c r="V13" s="76">
        <f t="shared" ref="V13:V22" si="13">ROUND(P13/$A$3*L13,0)</f>
        <v>0</v>
      </c>
      <c r="W13" s="76">
        <f t="shared" si="6"/>
        <v>40250</v>
      </c>
      <c r="X13" s="17">
        <f t="shared" ref="X13" si="14">ROUND(IF(M13&gt;15000,(15000/$A$3*L13)*12%,S13*12%)*1,0)</f>
        <v>1800</v>
      </c>
      <c r="Y13" s="76">
        <v>0</v>
      </c>
      <c r="Z13" s="78">
        <v>0</v>
      </c>
      <c r="AA13" s="11">
        <v>0</v>
      </c>
      <c r="AB13" s="76">
        <f t="shared" si="7"/>
        <v>1800</v>
      </c>
      <c r="AC13" s="92">
        <f t="shared" si="8"/>
        <v>38450</v>
      </c>
      <c r="AD13" s="137">
        <v>10</v>
      </c>
      <c r="AE13" s="137">
        <v>2</v>
      </c>
      <c r="AF13" s="11"/>
      <c r="AG13" s="39"/>
    </row>
    <row r="14" spans="1:33" s="62" customFormat="1" x14ac:dyDescent="0.35">
      <c r="A14" s="28">
        <v>8</v>
      </c>
      <c r="B14" s="79" t="s">
        <v>49</v>
      </c>
      <c r="C14" s="72" t="s">
        <v>50</v>
      </c>
      <c r="D14" s="73">
        <v>37737</v>
      </c>
      <c r="E14" s="74" t="s">
        <v>51</v>
      </c>
      <c r="F14" s="6">
        <v>104</v>
      </c>
      <c r="G14" s="75">
        <v>45602</v>
      </c>
      <c r="H14" s="75">
        <v>45604</v>
      </c>
      <c r="I14" s="127">
        <v>9</v>
      </c>
      <c r="J14" s="127">
        <v>0</v>
      </c>
      <c r="K14" s="122">
        <v>28.5</v>
      </c>
      <c r="L14" s="133">
        <v>30</v>
      </c>
      <c r="M14" s="6">
        <f>15180+850</f>
        <v>16030</v>
      </c>
      <c r="N14" s="6">
        <v>12144</v>
      </c>
      <c r="O14" s="6">
        <f>3036-850</f>
        <v>2186</v>
      </c>
      <c r="P14" s="6">
        <v>0</v>
      </c>
      <c r="Q14" s="6">
        <f t="shared" si="0"/>
        <v>30360</v>
      </c>
      <c r="R14" s="6">
        <f t="shared" si="1"/>
        <v>30360</v>
      </c>
      <c r="S14" s="16">
        <f t="shared" si="10"/>
        <v>16030</v>
      </c>
      <c r="T14" s="16">
        <f t="shared" si="11"/>
        <v>12144</v>
      </c>
      <c r="U14" s="16">
        <f t="shared" si="12"/>
        <v>2186</v>
      </c>
      <c r="V14" s="16">
        <f t="shared" si="13"/>
        <v>0</v>
      </c>
      <c r="W14" s="16">
        <f t="shared" si="6"/>
        <v>30360</v>
      </c>
      <c r="X14" s="17">
        <f>ROUND(IF(M14&gt;15000,(15000/$A$3*L14)*12%,S14*12%)*1,0)</f>
        <v>1800</v>
      </c>
      <c r="Y14" s="98">
        <v>0</v>
      </c>
      <c r="Z14" s="90">
        <v>0</v>
      </c>
      <c r="AA14" s="6">
        <v>0</v>
      </c>
      <c r="AB14" s="16">
        <f t="shared" si="7"/>
        <v>1800</v>
      </c>
      <c r="AC14" s="91">
        <f t="shared" si="8"/>
        <v>28560</v>
      </c>
      <c r="AD14" s="136">
        <v>9</v>
      </c>
      <c r="AE14" s="136">
        <v>0</v>
      </c>
      <c r="AF14" s="6"/>
      <c r="AG14" s="38"/>
    </row>
    <row r="15" spans="1:33" s="62" customFormat="1" x14ac:dyDescent="0.35">
      <c r="A15" s="28">
        <v>9</v>
      </c>
      <c r="B15" s="79" t="s">
        <v>52</v>
      </c>
      <c r="C15" s="72" t="s">
        <v>53</v>
      </c>
      <c r="D15" s="73">
        <v>34767</v>
      </c>
      <c r="E15" s="74" t="s">
        <v>54</v>
      </c>
      <c r="F15" s="6">
        <v>1227</v>
      </c>
      <c r="G15" s="75">
        <v>45621</v>
      </c>
      <c r="H15" s="75">
        <v>45621</v>
      </c>
      <c r="I15" s="127">
        <v>3.5</v>
      </c>
      <c r="J15" s="127">
        <v>0</v>
      </c>
      <c r="K15" s="122">
        <v>29.5</v>
      </c>
      <c r="L15" s="133">
        <v>30</v>
      </c>
      <c r="M15" s="28">
        <v>18500</v>
      </c>
      <c r="N15" s="24">
        <v>14800</v>
      </c>
      <c r="O15" s="25">
        <v>3700</v>
      </c>
      <c r="P15" s="25">
        <v>0</v>
      </c>
      <c r="Q15" s="6">
        <f t="shared" si="0"/>
        <v>37000</v>
      </c>
      <c r="R15" s="6">
        <f t="shared" si="1"/>
        <v>37000</v>
      </c>
      <c r="S15" s="16">
        <f t="shared" si="10"/>
        <v>18500</v>
      </c>
      <c r="T15" s="16">
        <f t="shared" si="11"/>
        <v>14800</v>
      </c>
      <c r="U15" s="16">
        <f t="shared" si="12"/>
        <v>3700</v>
      </c>
      <c r="V15" s="16">
        <f t="shared" si="13"/>
        <v>0</v>
      </c>
      <c r="W15" s="16">
        <f t="shared" si="6"/>
        <v>37000</v>
      </c>
      <c r="X15" s="17">
        <f>ROUND(IF(M15&gt;15000,(15000/$A$3*L15)*12%,S15*12%)*1,0)</f>
        <v>1800</v>
      </c>
      <c r="Y15" s="76">
        <v>0</v>
      </c>
      <c r="Z15" s="90">
        <v>0</v>
      </c>
      <c r="AA15" s="6">
        <v>0</v>
      </c>
      <c r="AB15" s="16">
        <f t="shared" si="7"/>
        <v>1800</v>
      </c>
      <c r="AC15" s="91">
        <f t="shared" si="8"/>
        <v>35200</v>
      </c>
      <c r="AD15" s="136">
        <v>4.5</v>
      </c>
      <c r="AE15" s="136">
        <v>0</v>
      </c>
      <c r="AF15" s="6"/>
      <c r="AG15" s="38"/>
    </row>
    <row r="16" spans="1:33" s="63" customFormat="1" x14ac:dyDescent="0.35">
      <c r="A16" s="28">
        <v>10</v>
      </c>
      <c r="B16" s="77" t="s">
        <v>58</v>
      </c>
      <c r="C16" s="11" t="s">
        <v>59</v>
      </c>
      <c r="D16" s="26">
        <v>36096</v>
      </c>
      <c r="E16" s="77" t="s">
        <v>60</v>
      </c>
      <c r="F16" s="11">
        <v>1152</v>
      </c>
      <c r="G16" s="26">
        <v>45628</v>
      </c>
      <c r="H16" s="26" t="s">
        <v>27</v>
      </c>
      <c r="I16" s="147">
        <v>5</v>
      </c>
      <c r="J16" s="147">
        <v>0</v>
      </c>
      <c r="K16" s="147">
        <v>30</v>
      </c>
      <c r="L16" s="133">
        <v>30</v>
      </c>
      <c r="M16" s="17">
        <f>13580+2450</f>
        <v>16030</v>
      </c>
      <c r="N16" s="24">
        <f>5300-2450+1120+6000</f>
        <v>9970</v>
      </c>
      <c r="O16" s="25">
        <v>0</v>
      </c>
      <c r="P16" s="11">
        <v>0</v>
      </c>
      <c r="Q16" s="11">
        <f t="shared" si="0"/>
        <v>26000</v>
      </c>
      <c r="R16" s="11">
        <f t="shared" si="1"/>
        <v>26000</v>
      </c>
      <c r="S16" s="76">
        <f t="shared" si="10"/>
        <v>16030</v>
      </c>
      <c r="T16" s="76">
        <f t="shared" si="11"/>
        <v>9970</v>
      </c>
      <c r="U16" s="76">
        <f t="shared" si="12"/>
        <v>0</v>
      </c>
      <c r="V16" s="76">
        <f t="shared" si="13"/>
        <v>0</v>
      </c>
      <c r="W16" s="76">
        <f t="shared" si="6"/>
        <v>26000</v>
      </c>
      <c r="X16" s="17">
        <f>ROUND(IF(M16&gt;15000,(15000/$A$3*L16)*12%,S16*12%)*1,0)</f>
        <v>1800</v>
      </c>
      <c r="Y16" s="76">
        <v>0</v>
      </c>
      <c r="Z16" s="78">
        <v>0</v>
      </c>
      <c r="AA16" s="11">
        <v>0</v>
      </c>
      <c r="AB16" s="76">
        <f t="shared" si="7"/>
        <v>1800</v>
      </c>
      <c r="AC16" s="92">
        <f t="shared" si="8"/>
        <v>24200</v>
      </c>
      <c r="AD16" s="137">
        <f>5+1</f>
        <v>6</v>
      </c>
      <c r="AE16" s="137">
        <v>0.5</v>
      </c>
      <c r="AF16" s="11"/>
      <c r="AG16" s="39" t="s">
        <v>268</v>
      </c>
    </row>
    <row r="17" spans="1:33" s="62" customFormat="1" x14ac:dyDescent="0.35">
      <c r="A17" s="28">
        <v>11</v>
      </c>
      <c r="B17" s="79" t="s">
        <v>64</v>
      </c>
      <c r="C17" s="72" t="s">
        <v>65</v>
      </c>
      <c r="D17" s="73">
        <v>36869</v>
      </c>
      <c r="E17" s="74" t="s">
        <v>66</v>
      </c>
      <c r="F17" s="6">
        <v>105</v>
      </c>
      <c r="G17" s="75">
        <v>45707</v>
      </c>
      <c r="H17" s="75">
        <v>45707</v>
      </c>
      <c r="I17" s="127">
        <v>2</v>
      </c>
      <c r="J17" s="127">
        <v>0</v>
      </c>
      <c r="K17" s="122">
        <v>27.5</v>
      </c>
      <c r="L17" s="133">
        <v>30</v>
      </c>
      <c r="M17" s="6">
        <f>15500+530</f>
        <v>16030</v>
      </c>
      <c r="N17" s="6">
        <f>7000-530</f>
        <v>6470</v>
      </c>
      <c r="O17" s="6">
        <v>0</v>
      </c>
      <c r="P17" s="6">
        <v>0</v>
      </c>
      <c r="Q17" s="6">
        <f t="shared" si="0"/>
        <v>22500</v>
      </c>
      <c r="R17" s="6">
        <f t="shared" si="1"/>
        <v>22500</v>
      </c>
      <c r="S17" s="16">
        <f t="shared" si="10"/>
        <v>16030</v>
      </c>
      <c r="T17" s="16">
        <f t="shared" si="11"/>
        <v>6470</v>
      </c>
      <c r="U17" s="16">
        <f t="shared" si="12"/>
        <v>0</v>
      </c>
      <c r="V17" s="16">
        <f t="shared" si="13"/>
        <v>0</v>
      </c>
      <c r="W17" s="16">
        <f t="shared" si="6"/>
        <v>22500</v>
      </c>
      <c r="X17" s="17">
        <f t="shared" ref="X17:X19" si="15">ROUND(IF(M17&gt;15000,(15000/$A$3*L17)*12%,S17*12%)*1,0)</f>
        <v>1800</v>
      </c>
      <c r="Y17" s="16">
        <v>0</v>
      </c>
      <c r="Z17" s="90">
        <v>0</v>
      </c>
      <c r="AA17" s="6">
        <v>0</v>
      </c>
      <c r="AB17" s="16">
        <f t="shared" si="7"/>
        <v>1800</v>
      </c>
      <c r="AC17" s="91">
        <f t="shared" si="8"/>
        <v>20700</v>
      </c>
      <c r="AD17" s="136">
        <v>1</v>
      </c>
      <c r="AE17" s="136">
        <v>0</v>
      </c>
      <c r="AF17" s="6"/>
      <c r="AG17" s="39"/>
    </row>
    <row r="18" spans="1:33" s="62" customFormat="1" x14ac:dyDescent="0.35">
      <c r="A18" s="28">
        <v>12</v>
      </c>
      <c r="B18" s="79" t="s">
        <v>67</v>
      </c>
      <c r="C18" s="72" t="s">
        <v>68</v>
      </c>
      <c r="D18" s="73">
        <v>37097</v>
      </c>
      <c r="E18" s="74" t="s">
        <v>69</v>
      </c>
      <c r="F18" s="6">
        <v>207</v>
      </c>
      <c r="G18" s="75">
        <v>45720</v>
      </c>
      <c r="H18" s="75">
        <v>45720</v>
      </c>
      <c r="I18" s="127">
        <v>10.5</v>
      </c>
      <c r="J18" s="127">
        <v>0</v>
      </c>
      <c r="K18" s="122">
        <v>30</v>
      </c>
      <c r="L18" s="133">
        <v>30</v>
      </c>
      <c r="M18" s="6">
        <f>13580+2450</f>
        <v>16030</v>
      </c>
      <c r="N18" s="6">
        <v>10800</v>
      </c>
      <c r="O18" s="6">
        <f>2620-2450</f>
        <v>170</v>
      </c>
      <c r="P18" s="6">
        <v>0</v>
      </c>
      <c r="Q18" s="6">
        <f t="shared" si="0"/>
        <v>27000</v>
      </c>
      <c r="R18" s="6">
        <f t="shared" si="1"/>
        <v>27000</v>
      </c>
      <c r="S18" s="16">
        <f t="shared" si="10"/>
        <v>16030</v>
      </c>
      <c r="T18" s="16">
        <f t="shared" si="11"/>
        <v>10800</v>
      </c>
      <c r="U18" s="16">
        <f t="shared" si="12"/>
        <v>170</v>
      </c>
      <c r="V18" s="16">
        <f t="shared" si="13"/>
        <v>0</v>
      </c>
      <c r="W18" s="16">
        <f t="shared" si="6"/>
        <v>27000</v>
      </c>
      <c r="X18" s="17">
        <f t="shared" si="15"/>
        <v>1800</v>
      </c>
      <c r="Y18" s="16">
        <v>0</v>
      </c>
      <c r="Z18" s="90">
        <v>0</v>
      </c>
      <c r="AA18" s="6">
        <v>0</v>
      </c>
      <c r="AB18" s="16">
        <f t="shared" si="7"/>
        <v>1800</v>
      </c>
      <c r="AC18" s="91">
        <f t="shared" si="8"/>
        <v>25200</v>
      </c>
      <c r="AD18" s="136">
        <v>11.5</v>
      </c>
      <c r="AE18" s="136">
        <v>0.5</v>
      </c>
      <c r="AF18" s="26"/>
      <c r="AG18" s="38"/>
    </row>
    <row r="19" spans="1:33" s="62" customFormat="1" x14ac:dyDescent="0.35">
      <c r="A19" s="28">
        <v>13</v>
      </c>
      <c r="B19" s="79" t="s">
        <v>70</v>
      </c>
      <c r="C19" s="72" t="s">
        <v>71</v>
      </c>
      <c r="D19" s="73">
        <v>37800</v>
      </c>
      <c r="E19" s="74" t="s">
        <v>72</v>
      </c>
      <c r="F19" s="11">
        <v>1151</v>
      </c>
      <c r="G19" s="75">
        <v>45726</v>
      </c>
      <c r="H19" s="75">
        <v>45728</v>
      </c>
      <c r="I19" s="127">
        <v>12.5</v>
      </c>
      <c r="J19" s="127">
        <v>1</v>
      </c>
      <c r="K19" s="122">
        <v>29</v>
      </c>
      <c r="L19" s="133">
        <v>30</v>
      </c>
      <c r="M19" s="17">
        <f>13580+2450</f>
        <v>16030</v>
      </c>
      <c r="N19" s="24">
        <f>10400-2450+2020</f>
        <v>9970</v>
      </c>
      <c r="O19" s="25">
        <v>0</v>
      </c>
      <c r="P19" s="6">
        <v>0</v>
      </c>
      <c r="Q19" s="6">
        <f t="shared" si="0"/>
        <v>26000</v>
      </c>
      <c r="R19" s="6">
        <f t="shared" si="1"/>
        <v>26000</v>
      </c>
      <c r="S19" s="16">
        <f t="shared" si="10"/>
        <v>16030</v>
      </c>
      <c r="T19" s="16">
        <f t="shared" si="11"/>
        <v>9970</v>
      </c>
      <c r="U19" s="16">
        <f t="shared" si="12"/>
        <v>0</v>
      </c>
      <c r="V19" s="16">
        <f t="shared" si="13"/>
        <v>0</v>
      </c>
      <c r="W19" s="16">
        <f t="shared" si="6"/>
        <v>26000</v>
      </c>
      <c r="X19" s="17">
        <f t="shared" si="15"/>
        <v>1800</v>
      </c>
      <c r="Y19" s="16">
        <v>0</v>
      </c>
      <c r="Z19" s="90">
        <v>0</v>
      </c>
      <c r="AA19" s="6">
        <v>0</v>
      </c>
      <c r="AB19" s="16">
        <f t="shared" si="7"/>
        <v>1800</v>
      </c>
      <c r="AC19" s="91">
        <f t="shared" si="8"/>
        <v>24200</v>
      </c>
      <c r="AD19" s="136">
        <v>13.5</v>
      </c>
      <c r="AE19" s="136">
        <v>0.5</v>
      </c>
      <c r="AF19" s="26"/>
      <c r="AG19" s="38"/>
    </row>
    <row r="20" spans="1:33" s="62" customFormat="1" x14ac:dyDescent="0.35">
      <c r="A20" s="28">
        <v>14</v>
      </c>
      <c r="B20" s="77" t="s">
        <v>76</v>
      </c>
      <c r="C20" s="72" t="s">
        <v>75</v>
      </c>
      <c r="D20" s="73">
        <v>37899</v>
      </c>
      <c r="E20" s="74" t="s">
        <v>78</v>
      </c>
      <c r="F20" s="6">
        <v>783</v>
      </c>
      <c r="G20" s="75">
        <v>45782</v>
      </c>
      <c r="H20" s="75">
        <v>45784</v>
      </c>
      <c r="I20" s="147">
        <v>9</v>
      </c>
      <c r="J20" s="147">
        <v>0.5</v>
      </c>
      <c r="K20" s="147">
        <v>30</v>
      </c>
      <c r="L20" s="133">
        <v>30</v>
      </c>
      <c r="M20" s="6">
        <f>15200+830</f>
        <v>16030</v>
      </c>
      <c r="N20" s="6">
        <f>10000-1030</f>
        <v>8970</v>
      </c>
      <c r="O20" s="6">
        <v>0</v>
      </c>
      <c r="P20" s="6">
        <v>0</v>
      </c>
      <c r="Q20" s="6">
        <f t="shared" si="0"/>
        <v>25000</v>
      </c>
      <c r="R20" s="6">
        <f t="shared" si="1"/>
        <v>25000</v>
      </c>
      <c r="S20" s="16">
        <f t="shared" si="10"/>
        <v>16030</v>
      </c>
      <c r="T20" s="16">
        <f t="shared" si="11"/>
        <v>8970</v>
      </c>
      <c r="U20" s="16">
        <f t="shared" si="12"/>
        <v>0</v>
      </c>
      <c r="V20" s="16">
        <f t="shared" si="13"/>
        <v>0</v>
      </c>
      <c r="W20" s="16">
        <f t="shared" si="6"/>
        <v>25000</v>
      </c>
      <c r="X20" s="17">
        <v>0</v>
      </c>
      <c r="Y20" s="16">
        <v>0</v>
      </c>
      <c r="Z20" s="90">
        <v>0</v>
      </c>
      <c r="AA20" s="6">
        <v>0</v>
      </c>
      <c r="AB20" s="16">
        <f t="shared" si="7"/>
        <v>0</v>
      </c>
      <c r="AC20" s="91">
        <f t="shared" si="8"/>
        <v>25000</v>
      </c>
      <c r="AD20" s="137">
        <f>9+1</f>
        <v>10</v>
      </c>
      <c r="AE20" s="137">
        <f>0.5+0.5</f>
        <v>1</v>
      </c>
      <c r="AF20" s="65"/>
      <c r="AG20" s="39" t="s">
        <v>268</v>
      </c>
    </row>
    <row r="21" spans="1:33" s="62" customFormat="1" x14ac:dyDescent="0.35">
      <c r="A21" s="28">
        <v>15</v>
      </c>
      <c r="B21" s="77" t="s">
        <v>79</v>
      </c>
      <c r="C21" s="72" t="s">
        <v>80</v>
      </c>
      <c r="D21" s="73">
        <v>37261</v>
      </c>
      <c r="E21" s="74" t="s">
        <v>81</v>
      </c>
      <c r="F21" s="6">
        <v>800</v>
      </c>
      <c r="G21" s="75">
        <v>45796</v>
      </c>
      <c r="H21" s="75">
        <v>45800</v>
      </c>
      <c r="I21" s="127">
        <v>10</v>
      </c>
      <c r="J21" s="127">
        <v>0.5</v>
      </c>
      <c r="K21" s="122">
        <v>30</v>
      </c>
      <c r="L21" s="133">
        <v>30</v>
      </c>
      <c r="M21" s="6">
        <f>13580+2450</f>
        <v>16030</v>
      </c>
      <c r="N21" s="24">
        <f>9600-2450+820</f>
        <v>7970</v>
      </c>
      <c r="O21" s="25">
        <v>0</v>
      </c>
      <c r="P21" s="6">
        <v>0</v>
      </c>
      <c r="Q21" s="6">
        <f t="shared" ref="Q21:Q22" si="16">M21+N21+O21+P21</f>
        <v>24000</v>
      </c>
      <c r="R21" s="6">
        <f t="shared" ref="R21:R22" si="17">Q21</f>
        <v>24000</v>
      </c>
      <c r="S21" s="16">
        <f t="shared" si="10"/>
        <v>16030</v>
      </c>
      <c r="T21" s="16">
        <f t="shared" si="11"/>
        <v>7970</v>
      </c>
      <c r="U21" s="16">
        <f t="shared" si="12"/>
        <v>0</v>
      </c>
      <c r="V21" s="16">
        <f t="shared" si="13"/>
        <v>0</v>
      </c>
      <c r="W21" s="16">
        <f t="shared" ref="W21:W22" si="18">S21+T21+U21+V21</f>
        <v>24000</v>
      </c>
      <c r="X21" s="17">
        <f>ROUND(IF(M21&gt;15000,(15000/$A$3*L21)*12%,S21*12%)*1,0)</f>
        <v>1800</v>
      </c>
      <c r="Y21" s="16">
        <v>0</v>
      </c>
      <c r="Z21" s="90">
        <v>0</v>
      </c>
      <c r="AA21" s="6">
        <v>0</v>
      </c>
      <c r="AB21" s="16">
        <f t="shared" ref="AB21:AB22" si="19">X21+Y21+Z21+AA21</f>
        <v>1800</v>
      </c>
      <c r="AC21" s="91">
        <f t="shared" ref="AC21:AC22" si="20">W21-AB21</f>
        <v>22200</v>
      </c>
      <c r="AD21" s="137">
        <v>11</v>
      </c>
      <c r="AE21" s="137">
        <v>1</v>
      </c>
      <c r="AF21" s="65"/>
      <c r="AG21" s="64"/>
    </row>
    <row r="22" spans="1:33" s="62" customFormat="1" x14ac:dyDescent="0.35">
      <c r="A22" s="28">
        <v>16</v>
      </c>
      <c r="B22" s="77" t="s">
        <v>77</v>
      </c>
      <c r="C22" s="72" t="s">
        <v>82</v>
      </c>
      <c r="D22" s="73">
        <v>36083</v>
      </c>
      <c r="E22" s="74" t="s">
        <v>83</v>
      </c>
      <c r="F22" s="6">
        <v>801</v>
      </c>
      <c r="G22" s="75">
        <v>45796</v>
      </c>
      <c r="H22" s="75">
        <v>45800</v>
      </c>
      <c r="I22" s="127">
        <v>9</v>
      </c>
      <c r="J22" s="127">
        <v>0.5</v>
      </c>
      <c r="K22" s="122">
        <v>30</v>
      </c>
      <c r="L22" s="133">
        <v>30</v>
      </c>
      <c r="M22" s="6">
        <f>13580+2450</f>
        <v>16030</v>
      </c>
      <c r="N22" s="6">
        <f>9100-2450+70</f>
        <v>6720</v>
      </c>
      <c r="O22" s="6">
        <f>70-70</f>
        <v>0</v>
      </c>
      <c r="P22" s="6">
        <v>0</v>
      </c>
      <c r="Q22" s="6">
        <f t="shared" si="16"/>
        <v>22750</v>
      </c>
      <c r="R22" s="6">
        <f t="shared" si="17"/>
        <v>22750</v>
      </c>
      <c r="S22" s="16">
        <f t="shared" si="10"/>
        <v>16030</v>
      </c>
      <c r="T22" s="16">
        <f t="shared" si="11"/>
        <v>6720</v>
      </c>
      <c r="U22" s="16">
        <f t="shared" si="12"/>
        <v>0</v>
      </c>
      <c r="V22" s="16">
        <f t="shared" si="13"/>
        <v>0</v>
      </c>
      <c r="W22" s="16">
        <f t="shared" si="18"/>
        <v>22750</v>
      </c>
      <c r="X22" s="17">
        <v>0</v>
      </c>
      <c r="Y22" s="16">
        <v>0</v>
      </c>
      <c r="Z22" s="90">
        <v>0</v>
      </c>
      <c r="AA22" s="6">
        <v>0</v>
      </c>
      <c r="AB22" s="16">
        <f t="shared" si="19"/>
        <v>0</v>
      </c>
      <c r="AC22" s="91">
        <f t="shared" si="20"/>
        <v>22750</v>
      </c>
      <c r="AD22" s="137">
        <v>10</v>
      </c>
      <c r="AE22" s="137">
        <v>1</v>
      </c>
      <c r="AF22" s="65"/>
      <c r="AG22" s="64"/>
    </row>
    <row r="23" spans="1:33" s="62" customFormat="1" x14ac:dyDescent="0.35">
      <c r="A23" s="28">
        <v>17</v>
      </c>
      <c r="B23" s="77" t="s">
        <v>97</v>
      </c>
      <c r="C23" s="72" t="s">
        <v>85</v>
      </c>
      <c r="D23" s="73">
        <v>36433</v>
      </c>
      <c r="E23" s="74" t="s">
        <v>86</v>
      </c>
      <c r="F23" s="6">
        <v>809</v>
      </c>
      <c r="G23" s="75">
        <v>45813</v>
      </c>
      <c r="H23" s="75">
        <v>45813</v>
      </c>
      <c r="I23" s="127">
        <v>5</v>
      </c>
      <c r="J23" s="127">
        <v>0</v>
      </c>
      <c r="K23" s="122">
        <v>28.5</v>
      </c>
      <c r="L23" s="133">
        <v>30</v>
      </c>
      <c r="M23" s="6">
        <f>13580+1420</f>
        <v>15000</v>
      </c>
      <c r="N23" s="6">
        <v>0</v>
      </c>
      <c r="O23" s="6">
        <v>0</v>
      </c>
      <c r="P23" s="6">
        <v>0</v>
      </c>
      <c r="Q23" s="6">
        <f t="shared" ref="Q23:Q27" si="21">M23+N23+O23+P23</f>
        <v>15000</v>
      </c>
      <c r="R23" s="6">
        <f t="shared" ref="R23:R27" si="22">Q23</f>
        <v>15000</v>
      </c>
      <c r="S23" s="16">
        <f t="shared" ref="S23:S27" si="23">ROUND(M23/$A$3*L23,0)</f>
        <v>15000</v>
      </c>
      <c r="T23" s="16">
        <f t="shared" ref="T23:T27" si="24">ROUND(N23/$A$3*L23,0)</f>
        <v>0</v>
      </c>
      <c r="U23" s="16">
        <f t="shared" ref="U23:U27" si="25">ROUND(O23/$A$3*L23,0)</f>
        <v>0</v>
      </c>
      <c r="V23" s="16">
        <f t="shared" ref="V23:V27" si="26">ROUND(P23/$A$3*L23,0)</f>
        <v>0</v>
      </c>
      <c r="W23" s="16">
        <f t="shared" ref="W23:W27" si="27">S23+T23+U23+V23</f>
        <v>15000</v>
      </c>
      <c r="X23" s="17">
        <f t="shared" ref="X23:X25" si="28">ROUND(IF(M23&gt;15000,(15000/$A$3*L23)*12%,S23*12%)*1,0)</f>
        <v>1800</v>
      </c>
      <c r="Y23" s="16">
        <f t="shared" ref="Y23:Y27" si="29">ROUNDUP(W23*0.75%,0)</f>
        <v>113</v>
      </c>
      <c r="Z23" s="90">
        <v>0</v>
      </c>
      <c r="AA23" s="6">
        <v>0</v>
      </c>
      <c r="AB23" s="16">
        <f t="shared" ref="AB23:AB27" si="30">X23+Y23+Z23+AA23</f>
        <v>1913</v>
      </c>
      <c r="AC23" s="91">
        <f t="shared" ref="AC23:AC27" si="31">W23-AB23</f>
        <v>13087</v>
      </c>
      <c r="AD23" s="137">
        <v>5</v>
      </c>
      <c r="AE23" s="137">
        <v>0</v>
      </c>
      <c r="AF23" s="65"/>
      <c r="AG23" s="64"/>
    </row>
    <row r="24" spans="1:33" s="62" customFormat="1" x14ac:dyDescent="0.35">
      <c r="A24" s="28">
        <v>18</v>
      </c>
      <c r="B24" s="77" t="s">
        <v>98</v>
      </c>
      <c r="C24" s="72" t="s">
        <v>87</v>
      </c>
      <c r="D24" s="73">
        <v>37130</v>
      </c>
      <c r="E24" s="74" t="s">
        <v>88</v>
      </c>
      <c r="F24" s="6">
        <v>137</v>
      </c>
      <c r="G24" s="75">
        <v>45813</v>
      </c>
      <c r="H24" s="75">
        <v>45813</v>
      </c>
      <c r="I24" s="127">
        <v>8</v>
      </c>
      <c r="J24" s="127">
        <v>0</v>
      </c>
      <c r="K24" s="122">
        <v>30</v>
      </c>
      <c r="L24" s="133">
        <v>30</v>
      </c>
      <c r="M24" s="6">
        <f>13580+2450</f>
        <v>16030</v>
      </c>
      <c r="N24" s="6">
        <f>9600-630</f>
        <v>8970</v>
      </c>
      <c r="O24" s="6">
        <v>0</v>
      </c>
      <c r="P24" s="6">
        <v>0</v>
      </c>
      <c r="Q24" s="6">
        <f t="shared" si="21"/>
        <v>25000</v>
      </c>
      <c r="R24" s="6">
        <f t="shared" si="22"/>
        <v>25000</v>
      </c>
      <c r="S24" s="16">
        <f t="shared" si="23"/>
        <v>16030</v>
      </c>
      <c r="T24" s="16">
        <f t="shared" si="24"/>
        <v>8970</v>
      </c>
      <c r="U24" s="16">
        <f t="shared" si="25"/>
        <v>0</v>
      </c>
      <c r="V24" s="16">
        <f t="shared" si="26"/>
        <v>0</v>
      </c>
      <c r="W24" s="16">
        <f t="shared" si="27"/>
        <v>25000</v>
      </c>
      <c r="X24" s="17">
        <v>0</v>
      </c>
      <c r="Y24" s="16">
        <v>0</v>
      </c>
      <c r="Z24" s="90">
        <v>0</v>
      </c>
      <c r="AA24" s="6">
        <v>0</v>
      </c>
      <c r="AB24" s="16">
        <f t="shared" si="30"/>
        <v>0</v>
      </c>
      <c r="AC24" s="91">
        <f t="shared" si="31"/>
        <v>25000</v>
      </c>
      <c r="AD24" s="137">
        <v>9</v>
      </c>
      <c r="AE24" s="137">
        <v>0.5</v>
      </c>
      <c r="AF24" s="65"/>
      <c r="AG24" s="64"/>
    </row>
    <row r="25" spans="1:33" s="62" customFormat="1" x14ac:dyDescent="0.35">
      <c r="A25" s="28">
        <v>19</v>
      </c>
      <c r="B25" s="77" t="s">
        <v>96</v>
      </c>
      <c r="C25" s="72" t="s">
        <v>89</v>
      </c>
      <c r="D25" s="73">
        <v>36811</v>
      </c>
      <c r="E25" s="74" t="s">
        <v>90</v>
      </c>
      <c r="F25" s="6">
        <v>1223</v>
      </c>
      <c r="G25" s="75">
        <v>45827</v>
      </c>
      <c r="H25" s="75">
        <v>45827</v>
      </c>
      <c r="I25" s="127">
        <v>0</v>
      </c>
      <c r="J25" s="127">
        <v>0.5</v>
      </c>
      <c r="K25" s="122">
        <f>17+12</f>
        <v>29</v>
      </c>
      <c r="L25" s="133">
        <f>29+0.5+0.5</f>
        <v>30</v>
      </c>
      <c r="M25" s="6">
        <v>32500</v>
      </c>
      <c r="N25" s="6">
        <v>26000</v>
      </c>
      <c r="O25" s="6">
        <v>6500</v>
      </c>
      <c r="P25" s="6">
        <v>0</v>
      </c>
      <c r="Q25" s="6">
        <f t="shared" si="21"/>
        <v>65000</v>
      </c>
      <c r="R25" s="6">
        <f t="shared" si="22"/>
        <v>65000</v>
      </c>
      <c r="S25" s="16">
        <f t="shared" si="23"/>
        <v>32500</v>
      </c>
      <c r="T25" s="16">
        <f t="shared" si="24"/>
        <v>26000</v>
      </c>
      <c r="U25" s="16">
        <f t="shared" si="25"/>
        <v>6500</v>
      </c>
      <c r="V25" s="16">
        <f t="shared" si="26"/>
        <v>0</v>
      </c>
      <c r="W25" s="16">
        <f t="shared" si="27"/>
        <v>65000</v>
      </c>
      <c r="X25" s="17">
        <f t="shared" si="28"/>
        <v>1800</v>
      </c>
      <c r="Y25" s="16">
        <v>0</v>
      </c>
      <c r="Z25" s="90">
        <v>0</v>
      </c>
      <c r="AA25" s="6">
        <v>0</v>
      </c>
      <c r="AB25" s="16">
        <f t="shared" si="30"/>
        <v>1800</v>
      </c>
      <c r="AC25" s="91">
        <f t="shared" si="31"/>
        <v>63200</v>
      </c>
      <c r="AD25" s="137">
        <v>1</v>
      </c>
      <c r="AE25" s="137">
        <v>0</v>
      </c>
      <c r="AF25" s="65"/>
      <c r="AG25" s="40"/>
    </row>
    <row r="26" spans="1:33" s="62" customFormat="1" x14ac:dyDescent="0.35">
      <c r="A26" s="28">
        <v>20</v>
      </c>
      <c r="B26" s="77" t="s">
        <v>95</v>
      </c>
      <c r="C26" s="72" t="s">
        <v>91</v>
      </c>
      <c r="D26" s="73">
        <v>36942</v>
      </c>
      <c r="E26" s="74" t="s">
        <v>92</v>
      </c>
      <c r="F26" s="6">
        <v>1210</v>
      </c>
      <c r="G26" s="75">
        <v>45831</v>
      </c>
      <c r="H26" s="75">
        <v>45831</v>
      </c>
      <c r="I26" s="127">
        <v>6.5</v>
      </c>
      <c r="J26" s="127">
        <v>0</v>
      </c>
      <c r="K26" s="122">
        <v>30</v>
      </c>
      <c r="L26" s="133">
        <v>30</v>
      </c>
      <c r="M26" s="6">
        <f>13580+2450</f>
        <v>16030</v>
      </c>
      <c r="N26" s="6">
        <f>10100-2450+1570</f>
        <v>9220</v>
      </c>
      <c r="O26" s="6">
        <v>0</v>
      </c>
      <c r="P26" s="6">
        <v>0</v>
      </c>
      <c r="Q26" s="6">
        <f t="shared" si="21"/>
        <v>25250</v>
      </c>
      <c r="R26" s="6">
        <f t="shared" si="22"/>
        <v>25250</v>
      </c>
      <c r="S26" s="16">
        <f t="shared" si="23"/>
        <v>16030</v>
      </c>
      <c r="T26" s="16">
        <f t="shared" si="24"/>
        <v>9220</v>
      </c>
      <c r="U26" s="16">
        <f t="shared" si="25"/>
        <v>0</v>
      </c>
      <c r="V26" s="16">
        <f t="shared" si="26"/>
        <v>0</v>
      </c>
      <c r="W26" s="16">
        <f t="shared" si="27"/>
        <v>25250</v>
      </c>
      <c r="X26" s="17">
        <v>0</v>
      </c>
      <c r="Y26" s="16">
        <v>0</v>
      </c>
      <c r="Z26" s="90">
        <v>0</v>
      </c>
      <c r="AA26" s="6">
        <v>0</v>
      </c>
      <c r="AB26" s="16">
        <f t="shared" si="30"/>
        <v>0</v>
      </c>
      <c r="AC26" s="91">
        <f t="shared" si="31"/>
        <v>25250</v>
      </c>
      <c r="AD26" s="137">
        <v>7.5</v>
      </c>
      <c r="AE26" s="137">
        <v>0.5</v>
      </c>
      <c r="AF26" s="65"/>
      <c r="AG26" s="64"/>
    </row>
    <row r="27" spans="1:33" s="107" customFormat="1" x14ac:dyDescent="0.35">
      <c r="A27" s="28">
        <v>21</v>
      </c>
      <c r="B27" s="103" t="s">
        <v>99</v>
      </c>
      <c r="C27" s="101" t="s">
        <v>93</v>
      </c>
      <c r="D27" s="102">
        <v>34444</v>
      </c>
      <c r="E27" s="103" t="s">
        <v>94</v>
      </c>
      <c r="F27" s="101">
        <v>1211</v>
      </c>
      <c r="G27" s="102">
        <v>45831</v>
      </c>
      <c r="H27" s="102">
        <v>45831</v>
      </c>
      <c r="I27" s="127">
        <v>0.5</v>
      </c>
      <c r="J27" s="127">
        <v>0</v>
      </c>
      <c r="K27" s="135">
        <v>6</v>
      </c>
      <c r="L27" s="131">
        <v>6</v>
      </c>
      <c r="M27" s="101">
        <f>15200+830</f>
        <v>16030</v>
      </c>
      <c r="N27" s="101">
        <f>2800-830</f>
        <v>1970</v>
      </c>
      <c r="O27" s="101">
        <v>0</v>
      </c>
      <c r="P27" s="101">
        <v>0</v>
      </c>
      <c r="Q27" s="101">
        <f t="shared" si="21"/>
        <v>18000</v>
      </c>
      <c r="R27" s="101">
        <f t="shared" si="22"/>
        <v>18000</v>
      </c>
      <c r="S27" s="104">
        <f t="shared" si="23"/>
        <v>3206</v>
      </c>
      <c r="T27" s="104">
        <f t="shared" si="24"/>
        <v>394</v>
      </c>
      <c r="U27" s="104">
        <f t="shared" si="25"/>
        <v>0</v>
      </c>
      <c r="V27" s="104">
        <f t="shared" si="26"/>
        <v>0</v>
      </c>
      <c r="W27" s="104">
        <f t="shared" si="27"/>
        <v>3600</v>
      </c>
      <c r="X27" s="100">
        <v>0</v>
      </c>
      <c r="Y27" s="104">
        <f t="shared" si="29"/>
        <v>27</v>
      </c>
      <c r="Z27" s="105">
        <v>0</v>
      </c>
      <c r="AA27" s="6">
        <v>0</v>
      </c>
      <c r="AB27" s="16">
        <f t="shared" si="30"/>
        <v>27</v>
      </c>
      <c r="AC27" s="106">
        <f t="shared" si="31"/>
        <v>3573</v>
      </c>
      <c r="AD27" s="129">
        <v>0.5</v>
      </c>
      <c r="AE27" s="129">
        <v>0</v>
      </c>
      <c r="AF27" s="109"/>
      <c r="AG27" s="64" t="s">
        <v>188</v>
      </c>
    </row>
    <row r="28" spans="1:33" s="68" customFormat="1" x14ac:dyDescent="0.35">
      <c r="A28" s="28">
        <v>22</v>
      </c>
      <c r="B28" s="40" t="s">
        <v>104</v>
      </c>
      <c r="C28" s="27" t="s">
        <v>108</v>
      </c>
      <c r="D28" s="29">
        <v>37658</v>
      </c>
      <c r="E28" s="33" t="s">
        <v>109</v>
      </c>
      <c r="F28" s="28">
        <v>1218</v>
      </c>
      <c r="G28" s="36">
        <v>45839</v>
      </c>
      <c r="H28" s="36">
        <v>45839</v>
      </c>
      <c r="I28" s="127">
        <v>5.5</v>
      </c>
      <c r="J28" s="127">
        <v>0</v>
      </c>
      <c r="K28" s="122">
        <v>29</v>
      </c>
      <c r="L28" s="138">
        <v>30</v>
      </c>
      <c r="M28" s="28">
        <v>26500</v>
      </c>
      <c r="N28" s="28">
        <f>20160+1040</f>
        <v>21200</v>
      </c>
      <c r="O28" s="28">
        <v>5300</v>
      </c>
      <c r="P28" s="28">
        <v>0</v>
      </c>
      <c r="Q28" s="28">
        <f t="shared" ref="Q28:Q31" si="32">M28+N28+O28+P28</f>
        <v>53000</v>
      </c>
      <c r="R28" s="28">
        <f t="shared" ref="R28:R31" si="33">Q28</f>
        <v>53000</v>
      </c>
      <c r="S28" s="16">
        <f t="shared" ref="S28:S31" si="34">ROUND(M28/$A$3*L28,0)</f>
        <v>26500</v>
      </c>
      <c r="T28" s="16">
        <f t="shared" ref="T28:T31" si="35">ROUND(N28/$A$3*L28,0)</f>
        <v>21200</v>
      </c>
      <c r="U28" s="16">
        <f t="shared" ref="U28:U31" si="36">ROUND(O28/$A$3*L28,0)</f>
        <v>5300</v>
      </c>
      <c r="V28" s="16">
        <f t="shared" ref="V28:V31" si="37">ROUND(P28/$A$3*L28,0)</f>
        <v>0</v>
      </c>
      <c r="W28" s="16">
        <f t="shared" ref="W28:W31" si="38">S28+T28+U28+V28</f>
        <v>53000</v>
      </c>
      <c r="X28" s="17">
        <f t="shared" ref="X28:X31" si="39">ROUND(IF(M28&gt;15000,(15000/$A$3*L28)*12%,S28*12%)*1,0)</f>
        <v>1800</v>
      </c>
      <c r="Y28" s="16">
        <v>0</v>
      </c>
      <c r="Z28" s="30">
        <v>0</v>
      </c>
      <c r="AA28" s="28">
        <v>0</v>
      </c>
      <c r="AB28" s="16">
        <f t="shared" ref="AB28:AB31" si="40">X28+Y28+Z28+AA28</f>
        <v>1800</v>
      </c>
      <c r="AC28" s="91">
        <f t="shared" ref="AC28:AC31" si="41">W28-AB28</f>
        <v>51200</v>
      </c>
      <c r="AD28" s="137">
        <v>6</v>
      </c>
      <c r="AE28" s="137">
        <v>0</v>
      </c>
      <c r="AF28" s="66"/>
      <c r="AG28" s="39"/>
    </row>
    <row r="29" spans="1:33" s="68" customFormat="1" x14ac:dyDescent="0.35">
      <c r="A29" s="28">
        <v>23</v>
      </c>
      <c r="B29" s="81" t="s">
        <v>105</v>
      </c>
      <c r="C29" s="82" t="s">
        <v>110</v>
      </c>
      <c r="D29" s="83">
        <v>37193</v>
      </c>
      <c r="E29" s="84" t="s">
        <v>111</v>
      </c>
      <c r="F29" s="85">
        <v>1153</v>
      </c>
      <c r="G29" s="86">
        <v>45845</v>
      </c>
      <c r="H29" s="86">
        <v>45846</v>
      </c>
      <c r="I29" s="127">
        <v>7</v>
      </c>
      <c r="J29" s="127">
        <v>0.5</v>
      </c>
      <c r="K29" s="122">
        <v>29</v>
      </c>
      <c r="L29" s="138">
        <v>30</v>
      </c>
      <c r="M29" s="6">
        <v>16030</v>
      </c>
      <c r="N29" s="6">
        <f>8800-2830</f>
        <v>5970</v>
      </c>
      <c r="O29" s="85">
        <v>0</v>
      </c>
      <c r="P29" s="85">
        <v>0</v>
      </c>
      <c r="Q29" s="28">
        <f t="shared" si="32"/>
        <v>22000</v>
      </c>
      <c r="R29" s="28">
        <f t="shared" si="33"/>
        <v>22000</v>
      </c>
      <c r="S29" s="16">
        <f t="shared" si="34"/>
        <v>16030</v>
      </c>
      <c r="T29" s="16">
        <f t="shared" si="35"/>
        <v>5970</v>
      </c>
      <c r="U29" s="16">
        <f t="shared" si="36"/>
        <v>0</v>
      </c>
      <c r="V29" s="16">
        <f t="shared" si="37"/>
        <v>0</v>
      </c>
      <c r="W29" s="16">
        <f t="shared" si="38"/>
        <v>22000</v>
      </c>
      <c r="X29" s="17">
        <f t="shared" si="39"/>
        <v>1800</v>
      </c>
      <c r="Y29" s="16">
        <v>0</v>
      </c>
      <c r="Z29" s="30">
        <v>0</v>
      </c>
      <c r="AA29" s="28">
        <v>0</v>
      </c>
      <c r="AB29" s="16">
        <f t="shared" si="40"/>
        <v>1800</v>
      </c>
      <c r="AC29" s="91">
        <f t="shared" si="41"/>
        <v>20200</v>
      </c>
      <c r="AD29" s="137">
        <v>8</v>
      </c>
      <c r="AE29" s="137">
        <v>0</v>
      </c>
      <c r="AF29" s="89"/>
      <c r="AG29" s="39" t="s">
        <v>268</v>
      </c>
    </row>
    <row r="30" spans="1:33" s="68" customFormat="1" x14ac:dyDescent="0.35">
      <c r="A30" s="28">
        <v>24</v>
      </c>
      <c r="B30" s="81" t="s">
        <v>106</v>
      </c>
      <c r="C30" s="82" t="s">
        <v>112</v>
      </c>
      <c r="D30" s="83">
        <v>36246</v>
      </c>
      <c r="E30" s="84" t="s">
        <v>113</v>
      </c>
      <c r="F30" s="85">
        <v>972</v>
      </c>
      <c r="G30" s="86">
        <v>45852</v>
      </c>
      <c r="H30" s="86">
        <v>45855</v>
      </c>
      <c r="I30" s="127">
        <v>8.5</v>
      </c>
      <c r="J30" s="127">
        <v>1</v>
      </c>
      <c r="K30" s="122">
        <v>30</v>
      </c>
      <c r="L30" s="138">
        <v>30</v>
      </c>
      <c r="M30" s="6">
        <f>14300+1730</f>
        <v>16030</v>
      </c>
      <c r="N30" s="6">
        <v>11440</v>
      </c>
      <c r="O30" s="85">
        <f>2860-1730</f>
        <v>1130</v>
      </c>
      <c r="P30" s="85">
        <v>0</v>
      </c>
      <c r="Q30" s="28">
        <f t="shared" si="32"/>
        <v>28600</v>
      </c>
      <c r="R30" s="28">
        <f t="shared" si="33"/>
        <v>28600</v>
      </c>
      <c r="S30" s="16">
        <f t="shared" si="34"/>
        <v>16030</v>
      </c>
      <c r="T30" s="16">
        <f t="shared" si="35"/>
        <v>11440</v>
      </c>
      <c r="U30" s="16">
        <f t="shared" si="36"/>
        <v>1130</v>
      </c>
      <c r="V30" s="16">
        <f t="shared" si="37"/>
        <v>0</v>
      </c>
      <c r="W30" s="16">
        <f t="shared" si="38"/>
        <v>28600</v>
      </c>
      <c r="X30" s="17">
        <f t="shared" si="39"/>
        <v>1800</v>
      </c>
      <c r="Y30" s="16">
        <v>0</v>
      </c>
      <c r="Z30" s="30">
        <v>0</v>
      </c>
      <c r="AA30" s="28">
        <v>0</v>
      </c>
      <c r="AB30" s="16">
        <f t="shared" si="40"/>
        <v>1800</v>
      </c>
      <c r="AC30" s="91">
        <f t="shared" si="41"/>
        <v>26800</v>
      </c>
      <c r="AD30" s="137">
        <v>9.5</v>
      </c>
      <c r="AE30" s="137">
        <v>1.5</v>
      </c>
      <c r="AF30" s="89"/>
      <c r="AG30" s="69"/>
    </row>
    <row r="31" spans="1:33" s="68" customFormat="1" x14ac:dyDescent="0.35">
      <c r="A31" s="28">
        <v>25</v>
      </c>
      <c r="B31" s="81" t="s">
        <v>107</v>
      </c>
      <c r="C31" s="82" t="s">
        <v>114</v>
      </c>
      <c r="D31" s="83">
        <v>37945</v>
      </c>
      <c r="E31" s="84" t="s">
        <v>115</v>
      </c>
      <c r="F31" s="85">
        <v>992</v>
      </c>
      <c r="G31" s="86">
        <v>45866</v>
      </c>
      <c r="H31" s="86">
        <v>45866</v>
      </c>
      <c r="I31" s="127">
        <v>3.5</v>
      </c>
      <c r="J31" s="127">
        <v>0</v>
      </c>
      <c r="K31" s="122">
        <v>29</v>
      </c>
      <c r="L31" s="138">
        <v>30</v>
      </c>
      <c r="M31" s="17">
        <f>13580+2450</f>
        <v>16030</v>
      </c>
      <c r="N31" s="24">
        <f>10400-2450+2020</f>
        <v>9970</v>
      </c>
      <c r="O31" s="25">
        <v>0</v>
      </c>
      <c r="P31" s="85">
        <v>0</v>
      </c>
      <c r="Q31" s="28">
        <f t="shared" si="32"/>
        <v>26000</v>
      </c>
      <c r="R31" s="28">
        <f t="shared" si="33"/>
        <v>26000</v>
      </c>
      <c r="S31" s="16">
        <f t="shared" si="34"/>
        <v>16030</v>
      </c>
      <c r="T31" s="16">
        <f t="shared" si="35"/>
        <v>9970</v>
      </c>
      <c r="U31" s="16">
        <f t="shared" si="36"/>
        <v>0</v>
      </c>
      <c r="V31" s="16">
        <f t="shared" si="37"/>
        <v>0</v>
      </c>
      <c r="W31" s="16">
        <f t="shared" si="38"/>
        <v>26000</v>
      </c>
      <c r="X31" s="17">
        <f t="shared" si="39"/>
        <v>1800</v>
      </c>
      <c r="Y31" s="16">
        <v>0</v>
      </c>
      <c r="Z31" s="30">
        <v>0</v>
      </c>
      <c r="AA31" s="28">
        <v>0</v>
      </c>
      <c r="AB31" s="16">
        <f t="shared" si="40"/>
        <v>1800</v>
      </c>
      <c r="AC31" s="91">
        <f t="shared" si="41"/>
        <v>24200</v>
      </c>
      <c r="AD31" s="139">
        <v>4</v>
      </c>
      <c r="AE31" s="139">
        <v>0</v>
      </c>
      <c r="AF31" s="89"/>
      <c r="AG31" s="69"/>
    </row>
    <row r="32" spans="1:33" s="68" customFormat="1" x14ac:dyDescent="0.35">
      <c r="A32" s="28">
        <v>26</v>
      </c>
      <c r="B32" s="40" t="s">
        <v>124</v>
      </c>
      <c r="C32" s="27" t="s">
        <v>128</v>
      </c>
      <c r="D32" s="29">
        <v>36870</v>
      </c>
      <c r="E32" s="33" t="s">
        <v>132</v>
      </c>
      <c r="F32" s="11">
        <v>1127</v>
      </c>
      <c r="G32" s="36">
        <v>45870</v>
      </c>
      <c r="H32" s="36">
        <v>45888</v>
      </c>
      <c r="I32" s="127">
        <v>3.5</v>
      </c>
      <c r="J32" s="127">
        <v>0</v>
      </c>
      <c r="K32" s="122">
        <v>28</v>
      </c>
      <c r="L32" s="138">
        <v>30</v>
      </c>
      <c r="M32" s="6">
        <f>13580+2450</f>
        <v>16030</v>
      </c>
      <c r="N32" s="6">
        <f>5920-2450</f>
        <v>3470</v>
      </c>
      <c r="O32" s="28">
        <v>0</v>
      </c>
      <c r="P32" s="37">
        <v>0</v>
      </c>
      <c r="Q32" s="28">
        <f t="shared" ref="Q32:Q35" si="42">M32+N32+O32+P32</f>
        <v>19500</v>
      </c>
      <c r="R32" s="28">
        <f t="shared" ref="R32:R35" si="43">Q32</f>
        <v>19500</v>
      </c>
      <c r="S32" s="16">
        <f t="shared" ref="S32:S35" si="44">ROUND(M32/$A$3*L32,0)</f>
        <v>16030</v>
      </c>
      <c r="T32" s="16">
        <f t="shared" ref="T32:T35" si="45">ROUND(N32/$A$3*L32,0)</f>
        <v>3470</v>
      </c>
      <c r="U32" s="16">
        <f t="shared" ref="U32:U35" si="46">ROUND(O32/$A$3*L32,0)</f>
        <v>0</v>
      </c>
      <c r="V32" s="16">
        <f t="shared" ref="V32:V35" si="47">ROUND(P32/$A$3*L32,0)</f>
        <v>0</v>
      </c>
      <c r="W32" s="16">
        <f t="shared" ref="W32:W35" si="48">S32+T32+U32+V32</f>
        <v>19500</v>
      </c>
      <c r="X32" s="17">
        <f t="shared" ref="X32:X35" si="49">ROUND(IF(M32&gt;15000,(15000/$A$3*L32)*12%,S32*12%)*1,0)</f>
        <v>1800</v>
      </c>
      <c r="Y32" s="16">
        <f t="shared" ref="Y32:Y34" si="50">ROUNDUP(W32*0.75%,0)</f>
        <v>147</v>
      </c>
      <c r="Z32" s="30">
        <v>0</v>
      </c>
      <c r="AA32" s="28">
        <v>0</v>
      </c>
      <c r="AB32" s="16">
        <f t="shared" ref="AB32:AB35" si="51">X32+Y32+Z32+AA32</f>
        <v>1947</v>
      </c>
      <c r="AC32" s="91">
        <f t="shared" ref="AC32:AC35" si="52">W32-AB32</f>
        <v>17553</v>
      </c>
      <c r="AD32" s="139">
        <v>3</v>
      </c>
      <c r="AE32" s="139">
        <v>0</v>
      </c>
      <c r="AF32" s="66"/>
      <c r="AG32" s="71"/>
    </row>
    <row r="33" spans="1:33" s="68" customFormat="1" x14ac:dyDescent="0.35">
      <c r="A33" s="28">
        <v>27</v>
      </c>
      <c r="B33" s="40" t="s">
        <v>125</v>
      </c>
      <c r="C33" s="27" t="s">
        <v>129</v>
      </c>
      <c r="D33" s="29">
        <v>36682</v>
      </c>
      <c r="E33" s="33" t="s">
        <v>133</v>
      </c>
      <c r="F33" s="11" t="s">
        <v>146</v>
      </c>
      <c r="G33" s="36">
        <v>45870</v>
      </c>
      <c r="H33" s="36">
        <v>45878</v>
      </c>
      <c r="I33" s="127">
        <v>6.5</v>
      </c>
      <c r="J33" s="127">
        <v>1.5</v>
      </c>
      <c r="K33" s="122">
        <v>27.5</v>
      </c>
      <c r="L33" s="138">
        <f>27.5+1</f>
        <v>28.5</v>
      </c>
      <c r="M33" s="28">
        <v>15200</v>
      </c>
      <c r="N33" s="28">
        <v>0</v>
      </c>
      <c r="O33" s="28">
        <v>0</v>
      </c>
      <c r="P33" s="37">
        <v>0</v>
      </c>
      <c r="Q33" s="28">
        <f t="shared" si="42"/>
        <v>15200</v>
      </c>
      <c r="R33" s="28">
        <f t="shared" si="43"/>
        <v>15200</v>
      </c>
      <c r="S33" s="16">
        <f t="shared" si="44"/>
        <v>14440</v>
      </c>
      <c r="T33" s="16">
        <f t="shared" si="45"/>
        <v>0</v>
      </c>
      <c r="U33" s="16">
        <f t="shared" si="46"/>
        <v>0</v>
      </c>
      <c r="V33" s="16">
        <f t="shared" si="47"/>
        <v>0</v>
      </c>
      <c r="W33" s="16">
        <f t="shared" si="48"/>
        <v>14440</v>
      </c>
      <c r="X33" s="17">
        <v>0</v>
      </c>
      <c r="Y33" s="16">
        <f t="shared" si="50"/>
        <v>109</v>
      </c>
      <c r="Z33" s="30">
        <v>0</v>
      </c>
      <c r="AA33" s="28">
        <v>0</v>
      </c>
      <c r="AB33" s="16">
        <f t="shared" si="51"/>
        <v>109</v>
      </c>
      <c r="AC33" s="91">
        <f t="shared" si="52"/>
        <v>14331</v>
      </c>
      <c r="AD33" s="139">
        <f>4.5+1+1+1</f>
        <v>7.5</v>
      </c>
      <c r="AE33" s="139">
        <f>0.5+0.5+0.5+0.5-1</f>
        <v>1</v>
      </c>
      <c r="AF33" s="66"/>
      <c r="AG33" s="71" t="s">
        <v>202</v>
      </c>
    </row>
    <row r="34" spans="1:33" s="68" customFormat="1" x14ac:dyDescent="0.35">
      <c r="A34" s="28">
        <v>28</v>
      </c>
      <c r="B34" s="40" t="s">
        <v>126</v>
      </c>
      <c r="C34" s="27" t="s">
        <v>130</v>
      </c>
      <c r="D34" s="29">
        <v>38002</v>
      </c>
      <c r="E34" s="33" t="s">
        <v>134</v>
      </c>
      <c r="F34" s="11" t="s">
        <v>146</v>
      </c>
      <c r="G34" s="36">
        <v>45870</v>
      </c>
      <c r="H34" s="36">
        <v>45878</v>
      </c>
      <c r="I34" s="127">
        <v>6.5</v>
      </c>
      <c r="J34" s="127">
        <v>0</v>
      </c>
      <c r="K34" s="122">
        <v>30</v>
      </c>
      <c r="L34" s="138">
        <v>30</v>
      </c>
      <c r="M34" s="28">
        <v>15200</v>
      </c>
      <c r="N34" s="28">
        <v>0</v>
      </c>
      <c r="O34" s="28">
        <v>0</v>
      </c>
      <c r="P34" s="37">
        <v>0</v>
      </c>
      <c r="Q34" s="28">
        <f t="shared" si="42"/>
        <v>15200</v>
      </c>
      <c r="R34" s="28">
        <f t="shared" si="43"/>
        <v>15200</v>
      </c>
      <c r="S34" s="16">
        <f t="shared" si="44"/>
        <v>15200</v>
      </c>
      <c r="T34" s="16">
        <f t="shared" si="45"/>
        <v>0</v>
      </c>
      <c r="U34" s="16">
        <f t="shared" si="46"/>
        <v>0</v>
      </c>
      <c r="V34" s="16">
        <f t="shared" si="47"/>
        <v>0</v>
      </c>
      <c r="W34" s="16">
        <f t="shared" si="48"/>
        <v>15200</v>
      </c>
      <c r="X34" s="17">
        <v>0</v>
      </c>
      <c r="Y34" s="16">
        <f t="shared" si="50"/>
        <v>114</v>
      </c>
      <c r="Z34" s="30">
        <v>0</v>
      </c>
      <c r="AA34" s="28">
        <v>0</v>
      </c>
      <c r="AB34" s="16">
        <f t="shared" si="51"/>
        <v>114</v>
      </c>
      <c r="AC34" s="91">
        <f t="shared" si="52"/>
        <v>15086</v>
      </c>
      <c r="AD34" s="139">
        <f>5.5+0.5+0.5+1</f>
        <v>7.5</v>
      </c>
      <c r="AE34" s="139">
        <v>0.5</v>
      </c>
      <c r="AF34" s="66"/>
      <c r="AG34" s="71" t="s">
        <v>187</v>
      </c>
    </row>
    <row r="35" spans="1:33" s="68" customFormat="1" x14ac:dyDescent="0.35">
      <c r="A35" s="28">
        <v>29</v>
      </c>
      <c r="B35" s="40" t="s">
        <v>127</v>
      </c>
      <c r="C35" s="27" t="s">
        <v>131</v>
      </c>
      <c r="D35" s="29">
        <v>36814</v>
      </c>
      <c r="E35" s="33" t="s">
        <v>135</v>
      </c>
      <c r="F35" s="28">
        <v>1037</v>
      </c>
      <c r="G35" s="36">
        <v>45880</v>
      </c>
      <c r="H35" s="36">
        <v>45881</v>
      </c>
      <c r="I35" s="127">
        <v>5</v>
      </c>
      <c r="J35" s="127">
        <v>0</v>
      </c>
      <c r="K35" s="122">
        <v>29</v>
      </c>
      <c r="L35" s="138">
        <v>30</v>
      </c>
      <c r="M35" s="6">
        <f>13580+2450</f>
        <v>16030</v>
      </c>
      <c r="N35" s="6">
        <f>8920-2450</f>
        <v>6470</v>
      </c>
      <c r="O35" s="28">
        <v>0</v>
      </c>
      <c r="P35" s="37">
        <v>0</v>
      </c>
      <c r="Q35" s="28">
        <f t="shared" si="42"/>
        <v>22500</v>
      </c>
      <c r="R35" s="28">
        <f t="shared" si="43"/>
        <v>22500</v>
      </c>
      <c r="S35" s="16">
        <f t="shared" si="44"/>
        <v>16030</v>
      </c>
      <c r="T35" s="16">
        <f t="shared" si="45"/>
        <v>6470</v>
      </c>
      <c r="U35" s="16">
        <f t="shared" si="46"/>
        <v>0</v>
      </c>
      <c r="V35" s="16">
        <f t="shared" si="47"/>
        <v>0</v>
      </c>
      <c r="W35" s="16">
        <f t="shared" si="48"/>
        <v>22500</v>
      </c>
      <c r="X35" s="17">
        <f t="shared" si="49"/>
        <v>1800</v>
      </c>
      <c r="Y35" s="16">
        <v>0</v>
      </c>
      <c r="Z35" s="30">
        <v>0</v>
      </c>
      <c r="AA35" s="28">
        <v>0</v>
      </c>
      <c r="AB35" s="16">
        <f t="shared" si="51"/>
        <v>1800</v>
      </c>
      <c r="AC35" s="91">
        <f t="shared" si="52"/>
        <v>20700</v>
      </c>
      <c r="AD35" s="139">
        <v>5.5</v>
      </c>
      <c r="AE35" s="139">
        <v>0</v>
      </c>
      <c r="AF35" s="66"/>
      <c r="AG35" s="71"/>
    </row>
    <row r="36" spans="1:33" s="68" customFormat="1" x14ac:dyDescent="0.35">
      <c r="A36" s="28">
        <v>30</v>
      </c>
      <c r="B36" s="40" t="s">
        <v>136</v>
      </c>
      <c r="C36" s="27" t="s">
        <v>137</v>
      </c>
      <c r="D36" s="29">
        <v>35110</v>
      </c>
      <c r="E36" s="33" t="s">
        <v>138</v>
      </c>
      <c r="F36" s="28">
        <v>1195</v>
      </c>
      <c r="G36" s="36">
        <v>45902</v>
      </c>
      <c r="H36" s="36">
        <v>45902</v>
      </c>
      <c r="I36" s="127">
        <v>0</v>
      </c>
      <c r="J36" s="127">
        <v>0</v>
      </c>
      <c r="K36" s="122">
        <v>16</v>
      </c>
      <c r="L36" s="138">
        <v>17.5</v>
      </c>
      <c r="M36" s="28">
        <f>15500+530</f>
        <v>16030</v>
      </c>
      <c r="N36" s="28">
        <v>12000</v>
      </c>
      <c r="O36" s="28">
        <f>2500-530</f>
        <v>1970</v>
      </c>
      <c r="P36" s="37">
        <v>0</v>
      </c>
      <c r="Q36" s="28">
        <f t="shared" ref="Q36:Q38" si="53">M36+N36+O36+P36</f>
        <v>30000</v>
      </c>
      <c r="R36" s="28">
        <f t="shared" ref="R36:R38" si="54">Q36</f>
        <v>30000</v>
      </c>
      <c r="S36" s="16">
        <f t="shared" ref="S36:S38" si="55">ROUND(M36/$A$3*L36,0)</f>
        <v>9351</v>
      </c>
      <c r="T36" s="16">
        <f t="shared" ref="T36:T38" si="56">ROUND(N36/$A$3*L36,0)</f>
        <v>7000</v>
      </c>
      <c r="U36" s="16">
        <f t="shared" ref="U36:U38" si="57">ROUND(O36/$A$3*L36,0)</f>
        <v>1149</v>
      </c>
      <c r="V36" s="16">
        <f t="shared" ref="V36:V38" si="58">ROUND(P36/$A$3*L36,0)</f>
        <v>0</v>
      </c>
      <c r="W36" s="16">
        <f t="shared" ref="W36:W38" si="59">S36+T36+U36+V36</f>
        <v>17500</v>
      </c>
      <c r="X36" s="17">
        <f t="shared" ref="X36:X39" si="60">ROUND(IF(M36&gt;15000,(15000/$A$3*L36)*12%,S36*12%)*1,0)</f>
        <v>1050</v>
      </c>
      <c r="Y36" s="16">
        <v>0</v>
      </c>
      <c r="Z36" s="30">
        <v>0</v>
      </c>
      <c r="AA36" s="28">
        <v>0</v>
      </c>
      <c r="AB36" s="16">
        <f t="shared" ref="AB36:AB38" si="61">X36+Y36+Z36+AA36</f>
        <v>1050</v>
      </c>
      <c r="AC36" s="91">
        <f t="shared" ref="AC36:AC38" si="62">W36-AB36</f>
        <v>16450</v>
      </c>
      <c r="AD36" s="128">
        <v>0</v>
      </c>
      <c r="AE36" s="128">
        <v>0</v>
      </c>
      <c r="AF36" s="66"/>
      <c r="AG36" s="39" t="s">
        <v>268</v>
      </c>
    </row>
    <row r="37" spans="1:33" s="68" customFormat="1" x14ac:dyDescent="0.35">
      <c r="A37" s="28">
        <v>31</v>
      </c>
      <c r="B37" s="40" t="s">
        <v>139</v>
      </c>
      <c r="C37" s="27" t="s">
        <v>140</v>
      </c>
      <c r="D37" s="29">
        <v>32353</v>
      </c>
      <c r="E37" s="33" t="s">
        <v>141</v>
      </c>
      <c r="F37" s="28">
        <v>1216</v>
      </c>
      <c r="G37" s="36">
        <v>45915</v>
      </c>
      <c r="H37" s="36">
        <v>45927</v>
      </c>
      <c r="I37" s="127">
        <v>2</v>
      </c>
      <c r="J37" s="127">
        <v>0</v>
      </c>
      <c r="K37" s="122">
        <v>29</v>
      </c>
      <c r="L37" s="138">
        <v>30</v>
      </c>
      <c r="M37" s="17">
        <f>15500+530</f>
        <v>16030</v>
      </c>
      <c r="N37" s="24">
        <f>9500-530</f>
        <v>8970</v>
      </c>
      <c r="O37" s="25">
        <v>0</v>
      </c>
      <c r="P37" s="37">
        <v>0</v>
      </c>
      <c r="Q37" s="28">
        <f t="shared" si="53"/>
        <v>25000</v>
      </c>
      <c r="R37" s="28">
        <f t="shared" si="54"/>
        <v>25000</v>
      </c>
      <c r="S37" s="16">
        <f t="shared" si="55"/>
        <v>16030</v>
      </c>
      <c r="T37" s="16">
        <f t="shared" si="56"/>
        <v>8970</v>
      </c>
      <c r="U37" s="16">
        <f t="shared" si="57"/>
        <v>0</v>
      </c>
      <c r="V37" s="16">
        <f t="shared" si="58"/>
        <v>0</v>
      </c>
      <c r="W37" s="16">
        <f t="shared" si="59"/>
        <v>25000</v>
      </c>
      <c r="X37" s="17">
        <f t="shared" si="60"/>
        <v>1800</v>
      </c>
      <c r="Y37" s="16">
        <v>0</v>
      </c>
      <c r="Z37" s="30">
        <v>0</v>
      </c>
      <c r="AA37" s="28">
        <v>0</v>
      </c>
      <c r="AB37" s="16">
        <f t="shared" si="61"/>
        <v>1800</v>
      </c>
      <c r="AC37" s="91">
        <f t="shared" si="62"/>
        <v>23200</v>
      </c>
      <c r="AD37" s="128">
        <v>2.5</v>
      </c>
      <c r="AE37" s="128">
        <v>0</v>
      </c>
      <c r="AF37" s="66"/>
      <c r="AG37" s="71"/>
    </row>
    <row r="38" spans="1:33" s="68" customFormat="1" x14ac:dyDescent="0.35">
      <c r="A38" s="28">
        <v>32</v>
      </c>
      <c r="B38" s="40" t="s">
        <v>142</v>
      </c>
      <c r="C38" s="27" t="s">
        <v>143</v>
      </c>
      <c r="D38" s="29">
        <v>37431</v>
      </c>
      <c r="E38" s="33" t="s">
        <v>144</v>
      </c>
      <c r="F38" s="28">
        <v>1199</v>
      </c>
      <c r="G38" s="36">
        <v>45916</v>
      </c>
      <c r="H38" s="36">
        <v>45925</v>
      </c>
      <c r="I38" s="127">
        <v>2.5</v>
      </c>
      <c r="J38" s="127">
        <v>0</v>
      </c>
      <c r="K38" s="122">
        <v>28.5</v>
      </c>
      <c r="L38" s="138">
        <v>30</v>
      </c>
      <c r="M38" s="6">
        <f>13580+2450</f>
        <v>16030</v>
      </c>
      <c r="N38" s="6">
        <f>9200-2450+220</f>
        <v>6970</v>
      </c>
      <c r="O38" s="28">
        <v>0</v>
      </c>
      <c r="P38" s="37">
        <v>0</v>
      </c>
      <c r="Q38" s="28">
        <f t="shared" si="53"/>
        <v>23000</v>
      </c>
      <c r="R38" s="28">
        <f t="shared" si="54"/>
        <v>23000</v>
      </c>
      <c r="S38" s="16">
        <f t="shared" si="55"/>
        <v>16030</v>
      </c>
      <c r="T38" s="16">
        <f t="shared" si="56"/>
        <v>6970</v>
      </c>
      <c r="U38" s="16">
        <f t="shared" si="57"/>
        <v>0</v>
      </c>
      <c r="V38" s="16">
        <f t="shared" si="58"/>
        <v>0</v>
      </c>
      <c r="W38" s="16">
        <f t="shared" si="59"/>
        <v>23000</v>
      </c>
      <c r="X38" s="17">
        <f t="shared" si="60"/>
        <v>1800</v>
      </c>
      <c r="Y38" s="16">
        <v>0</v>
      </c>
      <c r="Z38" s="30">
        <v>0</v>
      </c>
      <c r="AA38" s="28">
        <v>0</v>
      </c>
      <c r="AB38" s="16">
        <f t="shared" si="61"/>
        <v>1800</v>
      </c>
      <c r="AC38" s="91">
        <f t="shared" si="62"/>
        <v>21200</v>
      </c>
      <c r="AD38" s="128">
        <v>2.5</v>
      </c>
      <c r="AE38" s="128">
        <v>0</v>
      </c>
      <c r="AF38" s="66"/>
      <c r="AG38" s="67"/>
    </row>
    <row r="39" spans="1:33" s="31" customFormat="1" x14ac:dyDescent="0.35">
      <c r="A39" s="28">
        <v>33</v>
      </c>
      <c r="B39" s="40" t="s">
        <v>147</v>
      </c>
      <c r="C39" s="27" t="s">
        <v>148</v>
      </c>
      <c r="D39" s="29">
        <v>39345</v>
      </c>
      <c r="E39" s="33" t="s">
        <v>149</v>
      </c>
      <c r="F39" s="28">
        <v>1261</v>
      </c>
      <c r="G39" s="36">
        <v>45957</v>
      </c>
      <c r="H39" s="36">
        <v>45958</v>
      </c>
      <c r="I39" s="127">
        <v>3.5</v>
      </c>
      <c r="J39" s="127">
        <v>0</v>
      </c>
      <c r="K39" s="122">
        <v>28</v>
      </c>
      <c r="L39" s="138">
        <v>30</v>
      </c>
      <c r="M39" s="28">
        <f>13580+2450</f>
        <v>16030</v>
      </c>
      <c r="N39" s="28">
        <f>10000-2450+1420</f>
        <v>8970</v>
      </c>
      <c r="O39" s="28">
        <v>0</v>
      </c>
      <c r="P39" s="37">
        <v>0</v>
      </c>
      <c r="Q39" s="28">
        <f t="shared" ref="Q39:Q40" si="63">M39+N39+O39+P39</f>
        <v>25000</v>
      </c>
      <c r="R39" s="28">
        <f t="shared" ref="R39:R40" si="64">Q39</f>
        <v>25000</v>
      </c>
      <c r="S39" s="16">
        <f t="shared" ref="S39:S40" si="65">ROUND(M39/$A$3*L39,0)</f>
        <v>16030</v>
      </c>
      <c r="T39" s="16">
        <f t="shared" ref="T39:T40" si="66">ROUND(N39/$A$3*L39,0)</f>
        <v>8970</v>
      </c>
      <c r="U39" s="16">
        <f t="shared" ref="U39:U40" si="67">ROUND(O39/$A$3*L39,0)</f>
        <v>0</v>
      </c>
      <c r="V39" s="16">
        <f t="shared" ref="V39:V40" si="68">ROUND(P39/$A$3*L39,0)</f>
        <v>0</v>
      </c>
      <c r="W39" s="16">
        <f t="shared" ref="W39:W40" si="69">S39+T39+U39+V39</f>
        <v>25000</v>
      </c>
      <c r="X39" s="17">
        <f t="shared" si="60"/>
        <v>1800</v>
      </c>
      <c r="Y39" s="16">
        <v>0</v>
      </c>
      <c r="Z39" s="30">
        <v>0</v>
      </c>
      <c r="AA39" s="28">
        <v>0</v>
      </c>
      <c r="AB39" s="16">
        <f t="shared" ref="AB39:AB40" si="70">X39+Y39+Z39+AA39</f>
        <v>1800</v>
      </c>
      <c r="AC39" s="91">
        <f t="shared" ref="AC39:AC40" si="71">W39-AB39</f>
        <v>23200</v>
      </c>
      <c r="AD39" s="128">
        <v>3</v>
      </c>
      <c r="AE39" s="128">
        <v>0</v>
      </c>
      <c r="AF39" s="94"/>
      <c r="AG39" s="52"/>
    </row>
    <row r="40" spans="1:33" s="97" customFormat="1" x14ac:dyDescent="0.35">
      <c r="A40" s="28">
        <v>34</v>
      </c>
      <c r="B40" s="40" t="s">
        <v>150</v>
      </c>
      <c r="C40" s="17" t="s">
        <v>151</v>
      </c>
      <c r="D40" s="36">
        <v>38097</v>
      </c>
      <c r="E40" s="40" t="s">
        <v>152</v>
      </c>
      <c r="F40" s="17">
        <v>1275</v>
      </c>
      <c r="G40" s="36">
        <v>45964</v>
      </c>
      <c r="H40" s="36">
        <v>45973</v>
      </c>
      <c r="I40" s="127">
        <v>0.5</v>
      </c>
      <c r="J40" s="127">
        <v>0</v>
      </c>
      <c r="K40" s="122">
        <v>26.5</v>
      </c>
      <c r="L40" s="140">
        <v>28.5</v>
      </c>
      <c r="M40" s="17">
        <f>13580+2450</f>
        <v>16030</v>
      </c>
      <c r="N40" s="17">
        <f>4420-2450</f>
        <v>1970</v>
      </c>
      <c r="O40" s="17">
        <v>0</v>
      </c>
      <c r="P40" s="96">
        <v>0</v>
      </c>
      <c r="Q40" s="17">
        <f t="shared" si="63"/>
        <v>18000</v>
      </c>
      <c r="R40" s="17">
        <f t="shared" si="64"/>
        <v>18000</v>
      </c>
      <c r="S40" s="76">
        <f t="shared" si="65"/>
        <v>15229</v>
      </c>
      <c r="T40" s="76">
        <f t="shared" si="66"/>
        <v>1872</v>
      </c>
      <c r="U40" s="76">
        <f t="shared" si="67"/>
        <v>0</v>
      </c>
      <c r="V40" s="76">
        <f t="shared" si="68"/>
        <v>0</v>
      </c>
      <c r="W40" s="76">
        <f t="shared" si="69"/>
        <v>17101</v>
      </c>
      <c r="X40" s="17">
        <f t="shared" ref="X40" si="72">ROUND(IF(M40&gt;15000,(15000/$A$3*L40)*12%,S40*12%)*1,0)</f>
        <v>1710</v>
      </c>
      <c r="Y40" s="76">
        <f t="shared" ref="Y40" si="73">ROUNDUP(W40*0.75%,0)</f>
        <v>129</v>
      </c>
      <c r="Z40" s="88">
        <v>0</v>
      </c>
      <c r="AA40" s="17">
        <v>0</v>
      </c>
      <c r="AB40" s="76">
        <f t="shared" si="70"/>
        <v>1839</v>
      </c>
      <c r="AC40" s="92">
        <f t="shared" si="71"/>
        <v>15262</v>
      </c>
      <c r="AD40" s="128">
        <v>0</v>
      </c>
      <c r="AE40" s="128">
        <v>0</v>
      </c>
      <c r="AF40" s="94"/>
      <c r="AG40" s="71"/>
    </row>
    <row r="41" spans="1:33" s="125" customFormat="1" x14ac:dyDescent="0.35">
      <c r="A41" s="28">
        <v>35</v>
      </c>
      <c r="B41" s="40" t="s">
        <v>154</v>
      </c>
      <c r="C41" s="17" t="s">
        <v>155</v>
      </c>
      <c r="D41" s="36">
        <v>35317</v>
      </c>
      <c r="E41" s="40" t="s">
        <v>156</v>
      </c>
      <c r="F41" s="17">
        <v>1487</v>
      </c>
      <c r="G41" s="36">
        <v>46037</v>
      </c>
      <c r="H41" s="36">
        <v>46037</v>
      </c>
      <c r="I41" s="127">
        <v>0</v>
      </c>
      <c r="J41" s="127">
        <v>0</v>
      </c>
      <c r="K41" s="124">
        <v>28.5</v>
      </c>
      <c r="L41" s="140">
        <v>30</v>
      </c>
      <c r="M41" s="17">
        <v>46500</v>
      </c>
      <c r="N41" s="17">
        <v>37200</v>
      </c>
      <c r="O41" s="17">
        <v>9300</v>
      </c>
      <c r="P41" s="96">
        <v>0</v>
      </c>
      <c r="Q41" s="17">
        <f t="shared" ref="Q41" si="74">M41+N41+O41+P41</f>
        <v>93000</v>
      </c>
      <c r="R41" s="17">
        <f t="shared" ref="R41" si="75">Q41</f>
        <v>93000</v>
      </c>
      <c r="S41" s="76">
        <f t="shared" ref="S41" si="76">ROUND(M41/$A$3*L41,0)</f>
        <v>46500</v>
      </c>
      <c r="T41" s="76">
        <f t="shared" ref="T41" si="77">ROUND(N41/$A$3*L41,0)</f>
        <v>37200</v>
      </c>
      <c r="U41" s="76">
        <f t="shared" ref="U41" si="78">ROUND(O41/$A$3*L41,0)</f>
        <v>9300</v>
      </c>
      <c r="V41" s="76">
        <f t="shared" ref="V41" si="79">ROUND(P41/$A$3*L41,0)</f>
        <v>0</v>
      </c>
      <c r="W41" s="76">
        <f t="shared" ref="W41" si="80">S41+T41+U41+V41</f>
        <v>93000</v>
      </c>
      <c r="X41" s="17">
        <v>0</v>
      </c>
      <c r="Y41" s="76">
        <v>0</v>
      </c>
      <c r="Z41" s="88">
        <v>0</v>
      </c>
      <c r="AA41" s="17">
        <v>0</v>
      </c>
      <c r="AB41" s="76">
        <f t="shared" ref="AB41:AB47" si="81">X41+Y41+Z41+AA41</f>
        <v>0</v>
      </c>
      <c r="AC41" s="92">
        <f t="shared" ref="AC41:AC47" si="82">W41-AB41</f>
        <v>93000</v>
      </c>
      <c r="AD41" s="128">
        <v>0</v>
      </c>
      <c r="AE41" s="128">
        <v>0</v>
      </c>
      <c r="AF41" s="66">
        <v>46127</v>
      </c>
      <c r="AG41" s="71"/>
    </row>
    <row r="42" spans="1:33" s="114" customFormat="1" x14ac:dyDescent="0.35">
      <c r="A42" s="28">
        <v>36</v>
      </c>
      <c r="B42" s="108" t="s">
        <v>159</v>
      </c>
      <c r="C42" s="100" t="s">
        <v>160</v>
      </c>
      <c r="D42" s="111">
        <v>38907</v>
      </c>
      <c r="E42" s="108" t="s">
        <v>161</v>
      </c>
      <c r="F42" s="100">
        <v>1609</v>
      </c>
      <c r="G42" s="111">
        <v>46052</v>
      </c>
      <c r="H42" s="111">
        <v>46052</v>
      </c>
      <c r="I42" s="127">
        <v>0</v>
      </c>
      <c r="J42" s="127">
        <v>0.5</v>
      </c>
      <c r="K42" s="135">
        <v>6</v>
      </c>
      <c r="L42" s="132">
        <v>6</v>
      </c>
      <c r="M42" s="100">
        <v>16030</v>
      </c>
      <c r="N42" s="100">
        <v>8970</v>
      </c>
      <c r="O42" s="100">
        <v>0</v>
      </c>
      <c r="P42" s="112">
        <v>0</v>
      </c>
      <c r="Q42" s="100">
        <f t="shared" ref="Q42:Q47" si="83">M42+N42+O42+P42</f>
        <v>25000</v>
      </c>
      <c r="R42" s="100">
        <f t="shared" ref="R42:R47" si="84">Q42</f>
        <v>25000</v>
      </c>
      <c r="S42" s="104">
        <f t="shared" ref="S42:S47" si="85">ROUND(M42/$A$3*L42,0)</f>
        <v>3206</v>
      </c>
      <c r="T42" s="104">
        <f t="shared" ref="T42:T47" si="86">ROUND(N42/$A$3*L42,0)</f>
        <v>1794</v>
      </c>
      <c r="U42" s="104">
        <f t="shared" ref="U42:U47" si="87">ROUND(O42/$A$3*L42,0)</f>
        <v>0</v>
      </c>
      <c r="V42" s="104">
        <f t="shared" ref="V42:V47" si="88">ROUND(P42/$A$3*L42,0)</f>
        <v>0</v>
      </c>
      <c r="W42" s="104">
        <f t="shared" ref="W42:W47" si="89">S42+T42+U42+V42</f>
        <v>5000</v>
      </c>
      <c r="X42" s="100">
        <v>0</v>
      </c>
      <c r="Y42" s="104">
        <v>0</v>
      </c>
      <c r="Z42" s="110">
        <v>0</v>
      </c>
      <c r="AA42" s="28">
        <v>0</v>
      </c>
      <c r="AB42" s="16">
        <f t="shared" si="81"/>
        <v>0</v>
      </c>
      <c r="AC42" s="106">
        <f t="shared" si="82"/>
        <v>5000</v>
      </c>
      <c r="AD42" s="130">
        <f>1-1</f>
        <v>0</v>
      </c>
      <c r="AE42" s="130">
        <v>0.5</v>
      </c>
      <c r="AF42" s="113">
        <v>46142</v>
      </c>
      <c r="AG42" s="64" t="s">
        <v>188</v>
      </c>
    </row>
    <row r="43" spans="1:33" s="68" customFormat="1" x14ac:dyDescent="0.35">
      <c r="A43" s="28">
        <v>37</v>
      </c>
      <c r="B43" s="40" t="s">
        <v>162</v>
      </c>
      <c r="C43" s="27" t="s">
        <v>163</v>
      </c>
      <c r="D43" s="29">
        <v>35210</v>
      </c>
      <c r="E43" s="33" t="s">
        <v>164</v>
      </c>
      <c r="F43" s="28">
        <v>1559</v>
      </c>
      <c r="G43" s="36">
        <v>46055</v>
      </c>
      <c r="H43" s="36">
        <v>46055</v>
      </c>
      <c r="I43" s="127">
        <v>1</v>
      </c>
      <c r="J43" s="127">
        <v>0</v>
      </c>
      <c r="K43" s="141">
        <v>27</v>
      </c>
      <c r="L43" s="138">
        <f>27+1.5+1</f>
        <v>29.5</v>
      </c>
      <c r="M43" s="28">
        <v>17500</v>
      </c>
      <c r="N43" s="28">
        <v>14000</v>
      </c>
      <c r="O43" s="28">
        <v>3500</v>
      </c>
      <c r="P43" s="37">
        <v>0</v>
      </c>
      <c r="Q43" s="28">
        <f t="shared" si="83"/>
        <v>35000</v>
      </c>
      <c r="R43" s="28">
        <f t="shared" si="84"/>
        <v>35000</v>
      </c>
      <c r="S43" s="16">
        <f t="shared" si="85"/>
        <v>17208</v>
      </c>
      <c r="T43" s="16">
        <f t="shared" si="86"/>
        <v>13767</v>
      </c>
      <c r="U43" s="16">
        <f t="shared" si="87"/>
        <v>3442</v>
      </c>
      <c r="V43" s="16">
        <f t="shared" si="88"/>
        <v>0</v>
      </c>
      <c r="W43" s="16">
        <f t="shared" si="89"/>
        <v>34417</v>
      </c>
      <c r="X43" s="17">
        <f t="shared" ref="X43:X47" si="90">ROUND(IF(M43&gt;15000,(15000/$A$3*L43)*12%,S43*12%)*1,0)</f>
        <v>1770</v>
      </c>
      <c r="Y43" s="16">
        <v>0</v>
      </c>
      <c r="Z43" s="30">
        <v>0</v>
      </c>
      <c r="AA43" s="28">
        <v>0</v>
      </c>
      <c r="AB43" s="16">
        <f t="shared" si="81"/>
        <v>1770</v>
      </c>
      <c r="AC43" s="91">
        <f t="shared" si="82"/>
        <v>32647</v>
      </c>
      <c r="AD43" s="128">
        <v>0</v>
      </c>
      <c r="AE43" s="128">
        <v>0</v>
      </c>
      <c r="AF43" s="70">
        <v>46145</v>
      </c>
      <c r="AG43" s="71"/>
    </row>
    <row r="44" spans="1:33" s="114" customFormat="1" x14ac:dyDescent="0.35">
      <c r="A44" s="28">
        <v>38</v>
      </c>
      <c r="B44" s="108" t="s">
        <v>165</v>
      </c>
      <c r="C44" s="100" t="s">
        <v>166</v>
      </c>
      <c r="D44" s="111">
        <v>38114</v>
      </c>
      <c r="E44" s="108" t="s">
        <v>167</v>
      </c>
      <c r="F44" s="100">
        <v>1561</v>
      </c>
      <c r="G44" s="111">
        <v>46057</v>
      </c>
      <c r="H44" s="111">
        <v>46057</v>
      </c>
      <c r="I44" s="127">
        <v>0</v>
      </c>
      <c r="J44" s="127">
        <v>0</v>
      </c>
      <c r="K44" s="135">
        <v>0</v>
      </c>
      <c r="L44" s="132">
        <v>0</v>
      </c>
      <c r="M44" s="100">
        <v>16030</v>
      </c>
      <c r="N44" s="100">
        <v>12000</v>
      </c>
      <c r="O44" s="100">
        <v>1970</v>
      </c>
      <c r="P44" s="112">
        <v>0</v>
      </c>
      <c r="Q44" s="100">
        <f t="shared" si="83"/>
        <v>30000</v>
      </c>
      <c r="R44" s="100">
        <f t="shared" si="84"/>
        <v>30000</v>
      </c>
      <c r="S44" s="104">
        <f t="shared" si="85"/>
        <v>0</v>
      </c>
      <c r="T44" s="104">
        <f t="shared" si="86"/>
        <v>0</v>
      </c>
      <c r="U44" s="104">
        <f t="shared" si="87"/>
        <v>0</v>
      </c>
      <c r="V44" s="104">
        <f t="shared" si="88"/>
        <v>0</v>
      </c>
      <c r="W44" s="104">
        <f t="shared" si="89"/>
        <v>0</v>
      </c>
      <c r="X44" s="100">
        <f t="shared" si="90"/>
        <v>0</v>
      </c>
      <c r="Y44" s="104">
        <v>0</v>
      </c>
      <c r="Z44" s="110">
        <v>0</v>
      </c>
      <c r="AA44" s="28">
        <v>0</v>
      </c>
      <c r="AB44" s="16">
        <f t="shared" si="81"/>
        <v>0</v>
      </c>
      <c r="AC44" s="106">
        <f t="shared" si="82"/>
        <v>0</v>
      </c>
      <c r="AD44" s="130">
        <v>0</v>
      </c>
      <c r="AE44" s="130">
        <v>0</v>
      </c>
      <c r="AF44" s="113">
        <v>46147</v>
      </c>
      <c r="AG44" s="64" t="s">
        <v>188</v>
      </c>
    </row>
    <row r="45" spans="1:33" s="68" customFormat="1" x14ac:dyDescent="0.35">
      <c r="A45" s="28">
        <v>39</v>
      </c>
      <c r="B45" s="40" t="s">
        <v>168</v>
      </c>
      <c r="C45" s="27" t="s">
        <v>169</v>
      </c>
      <c r="D45" s="29">
        <v>35902</v>
      </c>
      <c r="E45" s="33" t="s">
        <v>170</v>
      </c>
      <c r="F45" s="28">
        <v>1606</v>
      </c>
      <c r="G45" s="36">
        <v>46058</v>
      </c>
      <c r="H45" s="36">
        <v>46058</v>
      </c>
      <c r="I45" s="127">
        <v>2</v>
      </c>
      <c r="J45" s="127">
        <v>0</v>
      </c>
      <c r="K45" s="141">
        <v>27</v>
      </c>
      <c r="L45" s="138">
        <v>30</v>
      </c>
      <c r="M45" s="28">
        <v>16030</v>
      </c>
      <c r="N45" s="28">
        <v>8970</v>
      </c>
      <c r="O45" s="28">
        <v>0</v>
      </c>
      <c r="P45" s="37">
        <v>0</v>
      </c>
      <c r="Q45" s="28">
        <f t="shared" si="83"/>
        <v>25000</v>
      </c>
      <c r="R45" s="28">
        <f t="shared" si="84"/>
        <v>25000</v>
      </c>
      <c r="S45" s="16">
        <f t="shared" si="85"/>
        <v>16030</v>
      </c>
      <c r="T45" s="16">
        <f t="shared" si="86"/>
        <v>8970</v>
      </c>
      <c r="U45" s="16">
        <f t="shared" si="87"/>
        <v>0</v>
      </c>
      <c r="V45" s="16">
        <f t="shared" si="88"/>
        <v>0</v>
      </c>
      <c r="W45" s="16">
        <f t="shared" si="89"/>
        <v>25000</v>
      </c>
      <c r="X45" s="17">
        <v>0</v>
      </c>
      <c r="Y45" s="16">
        <v>0</v>
      </c>
      <c r="Z45" s="30">
        <v>0</v>
      </c>
      <c r="AA45" s="28">
        <v>0</v>
      </c>
      <c r="AB45" s="16">
        <f t="shared" si="81"/>
        <v>0</v>
      </c>
      <c r="AC45" s="91">
        <f t="shared" si="82"/>
        <v>25000</v>
      </c>
      <c r="AD45" s="128">
        <v>0.5</v>
      </c>
      <c r="AE45" s="128">
        <v>0</v>
      </c>
      <c r="AF45" s="70">
        <v>46148</v>
      </c>
      <c r="AG45" s="71"/>
    </row>
    <row r="46" spans="1:33" s="68" customFormat="1" x14ac:dyDescent="0.35">
      <c r="A46" s="28">
        <v>40</v>
      </c>
      <c r="B46" s="40" t="s">
        <v>171</v>
      </c>
      <c r="C46" s="27" t="s">
        <v>172</v>
      </c>
      <c r="D46" s="29">
        <v>37943</v>
      </c>
      <c r="E46" s="33" t="s">
        <v>173</v>
      </c>
      <c r="F46" s="28">
        <v>1617</v>
      </c>
      <c r="G46" s="36">
        <v>46070</v>
      </c>
      <c r="H46" s="36">
        <v>46070</v>
      </c>
      <c r="I46" s="127">
        <v>0.5</v>
      </c>
      <c r="J46" s="127">
        <v>0</v>
      </c>
      <c r="K46" s="141">
        <v>29</v>
      </c>
      <c r="L46" s="138">
        <v>30</v>
      </c>
      <c r="M46" s="28">
        <f>13580+2450</f>
        <v>16030</v>
      </c>
      <c r="N46" s="28">
        <f>9600-2450+820</f>
        <v>7970</v>
      </c>
      <c r="O46" s="28">
        <v>0</v>
      </c>
      <c r="P46" s="37">
        <v>0</v>
      </c>
      <c r="Q46" s="28">
        <f t="shared" si="83"/>
        <v>24000</v>
      </c>
      <c r="R46" s="28">
        <f t="shared" si="84"/>
        <v>24000</v>
      </c>
      <c r="S46" s="16">
        <f t="shared" si="85"/>
        <v>16030</v>
      </c>
      <c r="T46" s="16">
        <f t="shared" si="86"/>
        <v>7970</v>
      </c>
      <c r="U46" s="16">
        <f t="shared" si="87"/>
        <v>0</v>
      </c>
      <c r="V46" s="16">
        <f t="shared" si="88"/>
        <v>0</v>
      </c>
      <c r="W46" s="16">
        <f t="shared" si="89"/>
        <v>24000</v>
      </c>
      <c r="X46" s="17">
        <f t="shared" si="90"/>
        <v>1800</v>
      </c>
      <c r="Y46" s="16">
        <v>0</v>
      </c>
      <c r="Z46" s="30">
        <v>0</v>
      </c>
      <c r="AA46" s="28">
        <v>0</v>
      </c>
      <c r="AB46" s="16">
        <f t="shared" si="81"/>
        <v>1800</v>
      </c>
      <c r="AC46" s="91">
        <f t="shared" si="82"/>
        <v>22200</v>
      </c>
      <c r="AD46" s="128">
        <v>1</v>
      </c>
      <c r="AE46" s="128">
        <v>0</v>
      </c>
      <c r="AF46" s="70">
        <v>46160</v>
      </c>
      <c r="AG46" s="71"/>
    </row>
    <row r="47" spans="1:33" s="68" customFormat="1" x14ac:dyDescent="0.35">
      <c r="A47" s="28">
        <v>41</v>
      </c>
      <c r="B47" s="40" t="s">
        <v>174</v>
      </c>
      <c r="C47" s="27" t="s">
        <v>175</v>
      </c>
      <c r="D47" s="29">
        <v>31582</v>
      </c>
      <c r="E47" s="33" t="s">
        <v>176</v>
      </c>
      <c r="F47" s="28">
        <v>1632</v>
      </c>
      <c r="G47" s="36">
        <v>46076</v>
      </c>
      <c r="H47" s="36">
        <v>46076</v>
      </c>
      <c r="I47" s="127">
        <v>1</v>
      </c>
      <c r="J47" s="127">
        <v>0.5</v>
      </c>
      <c r="K47" s="141">
        <v>29</v>
      </c>
      <c r="L47" s="138">
        <v>30</v>
      </c>
      <c r="M47" s="28">
        <v>16030</v>
      </c>
      <c r="N47" s="28">
        <v>12000</v>
      </c>
      <c r="O47" s="28">
        <v>1970</v>
      </c>
      <c r="P47" s="37">
        <v>0</v>
      </c>
      <c r="Q47" s="28">
        <f t="shared" si="83"/>
        <v>30000</v>
      </c>
      <c r="R47" s="28">
        <f t="shared" si="84"/>
        <v>30000</v>
      </c>
      <c r="S47" s="16">
        <f t="shared" si="85"/>
        <v>16030</v>
      </c>
      <c r="T47" s="16">
        <f t="shared" si="86"/>
        <v>12000</v>
      </c>
      <c r="U47" s="16">
        <f t="shared" si="87"/>
        <v>1970</v>
      </c>
      <c r="V47" s="16">
        <f t="shared" si="88"/>
        <v>0</v>
      </c>
      <c r="W47" s="16">
        <f t="shared" si="89"/>
        <v>30000</v>
      </c>
      <c r="X47" s="17">
        <f t="shared" si="90"/>
        <v>1800</v>
      </c>
      <c r="Y47" s="16">
        <v>0</v>
      </c>
      <c r="Z47" s="30">
        <v>0</v>
      </c>
      <c r="AA47" s="28">
        <v>0</v>
      </c>
      <c r="AB47" s="16">
        <f t="shared" si="81"/>
        <v>1800</v>
      </c>
      <c r="AC47" s="91">
        <f t="shared" si="82"/>
        <v>28200</v>
      </c>
      <c r="AD47" s="128">
        <v>2</v>
      </c>
      <c r="AE47" s="128">
        <v>0</v>
      </c>
      <c r="AF47" s="70">
        <v>46166</v>
      </c>
      <c r="AG47" s="71"/>
    </row>
    <row r="48" spans="1:33" s="68" customFormat="1" x14ac:dyDescent="0.3">
      <c r="A48" s="28">
        <v>42</v>
      </c>
      <c r="B48" s="40" t="s">
        <v>179</v>
      </c>
      <c r="C48" s="27" t="s">
        <v>182</v>
      </c>
      <c r="D48" s="29">
        <v>36935</v>
      </c>
      <c r="E48" s="33" t="s">
        <v>183</v>
      </c>
      <c r="F48" s="28">
        <v>1712</v>
      </c>
      <c r="G48" s="36">
        <v>46104</v>
      </c>
      <c r="H48" s="36">
        <v>46111</v>
      </c>
      <c r="I48" s="148">
        <v>0</v>
      </c>
      <c r="J48" s="148">
        <v>0</v>
      </c>
      <c r="K48" s="148">
        <v>28</v>
      </c>
      <c r="L48" s="138">
        <v>29.5</v>
      </c>
      <c r="M48" s="28">
        <f>15500+530</f>
        <v>16030</v>
      </c>
      <c r="N48" s="28">
        <f>1500-530</f>
        <v>970</v>
      </c>
      <c r="O48" s="28">
        <v>0</v>
      </c>
      <c r="P48" s="37">
        <v>0</v>
      </c>
      <c r="Q48" s="28">
        <f t="shared" ref="Q48" si="91">M48+N48+O48+P48</f>
        <v>17000</v>
      </c>
      <c r="R48" s="28">
        <f t="shared" ref="R48" si="92">Q48</f>
        <v>17000</v>
      </c>
      <c r="S48" s="16">
        <f t="shared" ref="S48" si="93">ROUND(M48/$A$3*L48,0)</f>
        <v>15763</v>
      </c>
      <c r="T48" s="16">
        <f t="shared" ref="T48" si="94">ROUND(N48/$A$3*L48,0)</f>
        <v>954</v>
      </c>
      <c r="U48" s="16">
        <f t="shared" ref="U48" si="95">ROUND(O48/$A$3*L48,0)</f>
        <v>0</v>
      </c>
      <c r="V48" s="16">
        <f t="shared" ref="V48" si="96">ROUND(P48/$A$3*L48,0)</f>
        <v>0</v>
      </c>
      <c r="W48" s="16">
        <f t="shared" ref="W48" si="97">S48+T48+U48+V48</f>
        <v>16717</v>
      </c>
      <c r="X48" s="17">
        <v>0</v>
      </c>
      <c r="Y48" s="76">
        <f t="shared" ref="Y48" si="98">ROUNDUP(W48*0.75%,0)</f>
        <v>126</v>
      </c>
      <c r="Z48" s="88">
        <v>0</v>
      </c>
      <c r="AA48" s="17">
        <v>0</v>
      </c>
      <c r="AB48" s="76">
        <f t="shared" ref="AB48:AB49" si="99">X48+Y48+Z48+AA48</f>
        <v>126</v>
      </c>
      <c r="AC48" s="92">
        <f t="shared" ref="AC48:AC49" si="100">W48-AB48</f>
        <v>16591</v>
      </c>
      <c r="AD48" s="128">
        <v>0</v>
      </c>
      <c r="AE48" s="128">
        <v>0</v>
      </c>
      <c r="AF48" s="70">
        <f>G48+90</f>
        <v>46194</v>
      </c>
      <c r="AG48" s="71"/>
    </row>
    <row r="49" spans="1:35" s="114" customFormat="1" x14ac:dyDescent="0.35">
      <c r="A49" s="28">
        <v>43</v>
      </c>
      <c r="B49" s="108" t="s">
        <v>178</v>
      </c>
      <c r="C49" s="100" t="s">
        <v>180</v>
      </c>
      <c r="D49" s="111">
        <v>38301</v>
      </c>
      <c r="E49" s="108" t="s">
        <v>181</v>
      </c>
      <c r="F49" s="100">
        <v>1687</v>
      </c>
      <c r="G49" s="111">
        <v>46098</v>
      </c>
      <c r="H49" s="111">
        <v>46099</v>
      </c>
      <c r="I49" s="163">
        <v>0</v>
      </c>
      <c r="J49" s="163">
        <v>0</v>
      </c>
      <c r="K49" s="135">
        <v>7</v>
      </c>
      <c r="L49" s="132">
        <v>7</v>
      </c>
      <c r="M49" s="100">
        <v>10000</v>
      </c>
      <c r="N49" s="100">
        <v>0</v>
      </c>
      <c r="O49" s="100">
        <v>0</v>
      </c>
      <c r="P49" s="112">
        <v>0</v>
      </c>
      <c r="Q49" s="100">
        <f t="shared" ref="Q49" si="101">M49+N49+O49+P49</f>
        <v>10000</v>
      </c>
      <c r="R49" s="100">
        <f t="shared" ref="R49" si="102">Q49</f>
        <v>10000</v>
      </c>
      <c r="S49" s="104">
        <f t="shared" ref="S49" si="103">ROUND(M49/$A$3*L49,0)</f>
        <v>2333</v>
      </c>
      <c r="T49" s="104">
        <f t="shared" ref="T49" si="104">ROUND(N49/$A$3*L49,0)</f>
        <v>0</v>
      </c>
      <c r="U49" s="104">
        <f t="shared" ref="U49" si="105">ROUND(O49/$A$3*L49,0)</f>
        <v>0</v>
      </c>
      <c r="V49" s="104">
        <f t="shared" ref="V49" si="106">ROUND(P49/$A$3*L49,0)</f>
        <v>0</v>
      </c>
      <c r="W49" s="104">
        <f t="shared" ref="W49" si="107">S49+T49+U49+V49</f>
        <v>2333</v>
      </c>
      <c r="X49" s="100">
        <f t="shared" ref="X49" si="108">ROUND(IF(M49&gt;15000,(15000/$A$3*L49)*12%,S49*12%)*1,0)</f>
        <v>280</v>
      </c>
      <c r="Y49" s="104">
        <f t="shared" ref="Y49" si="109">ROUNDUP(W49*0.75%,0)</f>
        <v>18</v>
      </c>
      <c r="Z49" s="110">
        <v>0</v>
      </c>
      <c r="AA49" s="17">
        <v>0</v>
      </c>
      <c r="AB49" s="76">
        <f t="shared" si="99"/>
        <v>298</v>
      </c>
      <c r="AC49" s="106">
        <f t="shared" si="100"/>
        <v>2035</v>
      </c>
      <c r="AD49" s="130">
        <v>0</v>
      </c>
      <c r="AE49" s="130">
        <v>0</v>
      </c>
      <c r="AF49" s="113">
        <f>G49+90</f>
        <v>46188</v>
      </c>
      <c r="AG49" s="64" t="s">
        <v>188</v>
      </c>
      <c r="AH49" s="114" t="s">
        <v>280</v>
      </c>
      <c r="AI49" s="114" t="s">
        <v>281</v>
      </c>
    </row>
    <row r="50" spans="1:35" s="161" customFormat="1" x14ac:dyDescent="0.35">
      <c r="A50" s="28">
        <v>44</v>
      </c>
      <c r="B50" s="115" t="s">
        <v>189</v>
      </c>
      <c r="C50" s="117" t="s">
        <v>191</v>
      </c>
      <c r="D50" s="118">
        <v>31985</v>
      </c>
      <c r="E50" s="115" t="s">
        <v>192</v>
      </c>
      <c r="F50" s="117" t="s">
        <v>146</v>
      </c>
      <c r="G50" s="118">
        <v>46113</v>
      </c>
      <c r="H50" s="118"/>
      <c r="I50" s="156" t="s">
        <v>201</v>
      </c>
      <c r="J50" s="156" t="s">
        <v>201</v>
      </c>
      <c r="K50" s="157">
        <v>30</v>
      </c>
      <c r="L50" s="140">
        <v>30</v>
      </c>
      <c r="M50" s="117">
        <f>14306+1724</f>
        <v>16030</v>
      </c>
      <c r="N50" s="117">
        <f>2494-1724</f>
        <v>770</v>
      </c>
      <c r="O50" s="117">
        <v>0</v>
      </c>
      <c r="P50" s="158">
        <v>0</v>
      </c>
      <c r="Q50" s="117">
        <f t="shared" ref="Q50" si="110">M50+N50+O50+P50</f>
        <v>16800</v>
      </c>
      <c r="R50" s="117">
        <f t="shared" ref="R50" si="111">Q50</f>
        <v>16800</v>
      </c>
      <c r="S50" s="154">
        <f t="shared" ref="S50" si="112">ROUND(M50/$A$3*L50,0)</f>
        <v>16030</v>
      </c>
      <c r="T50" s="154">
        <f t="shared" ref="T50" si="113">ROUND(N50/$A$3*L50,0)</f>
        <v>770</v>
      </c>
      <c r="U50" s="154">
        <f t="shared" ref="U50" si="114">ROUND(O50/$A$3*L50,0)</f>
        <v>0</v>
      </c>
      <c r="V50" s="154">
        <f t="shared" ref="V50" si="115">ROUND(P50/$A$3*L50,0)</f>
        <v>0</v>
      </c>
      <c r="W50" s="154">
        <f t="shared" ref="W50" si="116">S50+T50+U50+V50</f>
        <v>16800</v>
      </c>
      <c r="X50" s="117">
        <f t="shared" ref="X50" si="117">ROUND(IF(M50&gt;15000,(15000/$A$3*L50)*12%,S50*12%)*1,0)</f>
        <v>1800</v>
      </c>
      <c r="Y50" s="154">
        <f t="shared" ref="Y50" si="118">ROUNDUP(W50*0.75%,0)</f>
        <v>126</v>
      </c>
      <c r="Z50" s="155">
        <v>0</v>
      </c>
      <c r="AA50" s="117">
        <v>0</v>
      </c>
      <c r="AB50" s="154">
        <f t="shared" ref="AB50" si="119">X50+Y50+Z50+AA50</f>
        <v>1926</v>
      </c>
      <c r="AC50" s="154">
        <f t="shared" ref="AC50" si="120">W50-AB50</f>
        <v>14874</v>
      </c>
      <c r="AD50" s="128">
        <v>1</v>
      </c>
      <c r="AE50" s="128">
        <v>0.5</v>
      </c>
      <c r="AF50" s="159">
        <f>G50+90</f>
        <v>46203</v>
      </c>
      <c r="AG50" s="160"/>
    </row>
    <row r="51" spans="1:35" s="161" customFormat="1" x14ac:dyDescent="0.35">
      <c r="A51" s="28">
        <v>45</v>
      </c>
      <c r="B51" s="115" t="s">
        <v>195</v>
      </c>
      <c r="C51" s="117" t="s">
        <v>194</v>
      </c>
      <c r="D51" s="118">
        <v>35582</v>
      </c>
      <c r="E51" s="115" t="s">
        <v>193</v>
      </c>
      <c r="F51" s="117" t="s">
        <v>146</v>
      </c>
      <c r="G51" s="118">
        <v>46113</v>
      </c>
      <c r="H51" s="118"/>
      <c r="I51" s="156" t="s">
        <v>201</v>
      </c>
      <c r="J51" s="156" t="s">
        <v>201</v>
      </c>
      <c r="K51" s="157">
        <v>30</v>
      </c>
      <c r="L51" s="140">
        <v>30</v>
      </c>
      <c r="M51" s="116">
        <v>15200</v>
      </c>
      <c r="N51" s="117">
        <v>0</v>
      </c>
      <c r="O51" s="117">
        <v>0</v>
      </c>
      <c r="P51" s="158">
        <v>0</v>
      </c>
      <c r="Q51" s="117">
        <f t="shared" ref="Q51:Q52" si="121">M51+N51+O51+P51</f>
        <v>15200</v>
      </c>
      <c r="R51" s="117">
        <f t="shared" ref="R51:R52" si="122">Q51</f>
        <v>15200</v>
      </c>
      <c r="S51" s="154">
        <f t="shared" ref="S51:S52" si="123">ROUND(M51/$A$3*L51,0)</f>
        <v>15200</v>
      </c>
      <c r="T51" s="154">
        <f t="shared" ref="T51:T52" si="124">ROUND(N51/$A$3*L51,0)</f>
        <v>0</v>
      </c>
      <c r="U51" s="154">
        <f t="shared" ref="U51:U52" si="125">ROUND(O51/$A$3*L51,0)</f>
        <v>0</v>
      </c>
      <c r="V51" s="154">
        <f t="shared" ref="V51:V52" si="126">ROUND(P51/$A$3*L51,0)</f>
        <v>0</v>
      </c>
      <c r="W51" s="154">
        <f t="shared" ref="W51:W52" si="127">S51+T51+U51+V51</f>
        <v>15200</v>
      </c>
      <c r="X51" s="117">
        <v>0</v>
      </c>
      <c r="Y51" s="154">
        <f t="shared" ref="Y51:Y54" si="128">ROUNDUP(W51*0.75%,0)</f>
        <v>114</v>
      </c>
      <c r="Z51" s="155">
        <v>0</v>
      </c>
      <c r="AA51" s="117">
        <v>0</v>
      </c>
      <c r="AB51" s="154">
        <f t="shared" ref="AB51:AB52" si="129">X51+Y51+Z51+AA51</f>
        <v>114</v>
      </c>
      <c r="AC51" s="154">
        <f t="shared" ref="AC51:AC52" si="130">W51-AB51</f>
        <v>15086</v>
      </c>
      <c r="AD51" s="128">
        <v>1</v>
      </c>
      <c r="AE51" s="128">
        <v>0.5</v>
      </c>
      <c r="AF51" s="159">
        <f>G51+90</f>
        <v>46203</v>
      </c>
      <c r="AG51" s="160"/>
    </row>
    <row r="52" spans="1:35" s="161" customFormat="1" x14ac:dyDescent="0.35">
      <c r="A52" s="28">
        <v>46</v>
      </c>
      <c r="B52" s="115" t="s">
        <v>203</v>
      </c>
      <c r="C52" s="117" t="s">
        <v>198</v>
      </c>
      <c r="D52" s="118">
        <v>36804</v>
      </c>
      <c r="E52" s="115" t="s">
        <v>57</v>
      </c>
      <c r="F52" s="117">
        <v>1748</v>
      </c>
      <c r="G52" s="118">
        <v>46113</v>
      </c>
      <c r="H52" s="118"/>
      <c r="I52" s="156" t="s">
        <v>201</v>
      </c>
      <c r="J52" s="156" t="s">
        <v>201</v>
      </c>
      <c r="K52" s="157">
        <v>29</v>
      </c>
      <c r="L52" s="140">
        <f>29+1</f>
        <v>30</v>
      </c>
      <c r="M52" s="117">
        <v>22500</v>
      </c>
      <c r="N52" s="117">
        <v>18000</v>
      </c>
      <c r="O52" s="117">
        <v>4500</v>
      </c>
      <c r="P52" s="158">
        <v>0</v>
      </c>
      <c r="Q52" s="117">
        <f t="shared" si="121"/>
        <v>45000</v>
      </c>
      <c r="R52" s="117">
        <f t="shared" si="122"/>
        <v>45000</v>
      </c>
      <c r="S52" s="154">
        <f t="shared" si="123"/>
        <v>22500</v>
      </c>
      <c r="T52" s="154">
        <f t="shared" si="124"/>
        <v>18000</v>
      </c>
      <c r="U52" s="154">
        <f t="shared" si="125"/>
        <v>4500</v>
      </c>
      <c r="V52" s="154">
        <f t="shared" si="126"/>
        <v>0</v>
      </c>
      <c r="W52" s="154">
        <f t="shared" si="127"/>
        <v>45000</v>
      </c>
      <c r="X52" s="117">
        <f t="shared" ref="X52" si="131">ROUND(IF(M52&gt;15000,(15000/$A$3*L52)*12%,S52*12%)*1,0)</f>
        <v>1800</v>
      </c>
      <c r="Y52" s="154">
        <v>0</v>
      </c>
      <c r="Z52" s="155">
        <v>0</v>
      </c>
      <c r="AA52" s="117">
        <v>0</v>
      </c>
      <c r="AB52" s="154">
        <f t="shared" si="129"/>
        <v>1800</v>
      </c>
      <c r="AC52" s="154">
        <f t="shared" si="130"/>
        <v>43200</v>
      </c>
      <c r="AD52" s="128">
        <v>0.5</v>
      </c>
      <c r="AE52" s="128">
        <v>0</v>
      </c>
      <c r="AF52" s="159">
        <f>G52+90</f>
        <v>46203</v>
      </c>
      <c r="AG52" s="162"/>
    </row>
    <row r="53" spans="1:35" s="161" customFormat="1" x14ac:dyDescent="0.35">
      <c r="A53" s="28">
        <v>47</v>
      </c>
      <c r="B53" s="115" t="s">
        <v>271</v>
      </c>
      <c r="C53" s="117" t="s">
        <v>269</v>
      </c>
      <c r="D53" s="118">
        <v>35323</v>
      </c>
      <c r="E53" s="115" t="s">
        <v>276</v>
      </c>
      <c r="F53" s="117">
        <v>1768</v>
      </c>
      <c r="G53" s="118">
        <v>46118</v>
      </c>
      <c r="H53" s="118"/>
      <c r="I53" s="156" t="s">
        <v>201</v>
      </c>
      <c r="J53" s="156" t="s">
        <v>201</v>
      </c>
      <c r="K53" s="157">
        <v>25</v>
      </c>
      <c r="L53" s="140">
        <v>25</v>
      </c>
      <c r="M53" s="117">
        <v>21000</v>
      </c>
      <c r="N53" s="117">
        <v>16800</v>
      </c>
      <c r="O53" s="117">
        <v>4200</v>
      </c>
      <c r="P53" s="117">
        <v>0</v>
      </c>
      <c r="Q53" s="117">
        <f t="shared" ref="Q53:Q56" si="132">M53+N53+O53+P53</f>
        <v>42000</v>
      </c>
      <c r="R53" s="117">
        <f t="shared" ref="R53:R56" si="133">Q53</f>
        <v>42000</v>
      </c>
      <c r="S53" s="154">
        <f t="shared" ref="S53:S56" si="134">ROUND(M53/$A$3*L53,0)</f>
        <v>17500</v>
      </c>
      <c r="T53" s="154">
        <f t="shared" ref="T53:T56" si="135">ROUND(N53/$A$3*L53,0)</f>
        <v>14000</v>
      </c>
      <c r="U53" s="154">
        <f t="shared" ref="U53:U56" si="136">ROUND(O53/$A$3*L53,0)</f>
        <v>3500</v>
      </c>
      <c r="V53" s="154">
        <f t="shared" ref="V53:V56" si="137">ROUND(P53/$A$3*L53,0)</f>
        <v>0</v>
      </c>
      <c r="W53" s="154">
        <f t="shared" ref="W53:W56" si="138">S53+T53+U53+V53</f>
        <v>35000</v>
      </c>
      <c r="X53" s="117">
        <f t="shared" ref="X53:X56" si="139">ROUND(IF(M53&gt;15000,(15000/$A$3*L53)*12%,S53*12%)*1,0)</f>
        <v>1500</v>
      </c>
      <c r="Y53" s="154">
        <v>0</v>
      </c>
      <c r="Z53" s="155">
        <v>0</v>
      </c>
      <c r="AA53" s="117">
        <v>0</v>
      </c>
      <c r="AB53" s="154">
        <f t="shared" ref="AB53:AB56" si="140">X53+Y53+Z53+AA53</f>
        <v>1500</v>
      </c>
      <c r="AC53" s="154">
        <f t="shared" ref="AC53:AC56" si="141">W53-AB53</f>
        <v>33500</v>
      </c>
      <c r="AD53" s="128">
        <v>1</v>
      </c>
      <c r="AE53" s="128">
        <v>0.5</v>
      </c>
      <c r="AF53" s="159">
        <f>G53+90</f>
        <v>46208</v>
      </c>
      <c r="AG53" s="162"/>
    </row>
    <row r="54" spans="1:35" s="161" customFormat="1" x14ac:dyDescent="0.35">
      <c r="A54" s="28">
        <v>48</v>
      </c>
      <c r="B54" s="115" t="s">
        <v>270</v>
      </c>
      <c r="C54" s="117" t="s">
        <v>273</v>
      </c>
      <c r="D54" s="118">
        <v>38125</v>
      </c>
      <c r="E54" s="115" t="s">
        <v>277</v>
      </c>
      <c r="F54" s="117">
        <v>1842</v>
      </c>
      <c r="G54" s="118">
        <v>46125</v>
      </c>
      <c r="H54" s="118"/>
      <c r="I54" s="156" t="s">
        <v>201</v>
      </c>
      <c r="J54" s="156" t="s">
        <v>201</v>
      </c>
      <c r="K54" s="157">
        <v>18</v>
      </c>
      <c r="L54" s="140">
        <v>18</v>
      </c>
      <c r="M54" s="117">
        <v>15000</v>
      </c>
      <c r="N54" s="117">
        <v>0</v>
      </c>
      <c r="O54" s="117">
        <v>0</v>
      </c>
      <c r="P54" s="117">
        <v>0</v>
      </c>
      <c r="Q54" s="117">
        <f t="shared" si="132"/>
        <v>15000</v>
      </c>
      <c r="R54" s="117">
        <f t="shared" si="133"/>
        <v>15000</v>
      </c>
      <c r="S54" s="154">
        <f t="shared" si="134"/>
        <v>9000</v>
      </c>
      <c r="T54" s="154">
        <f t="shared" si="135"/>
        <v>0</v>
      </c>
      <c r="U54" s="154">
        <f t="shared" si="136"/>
        <v>0</v>
      </c>
      <c r="V54" s="154">
        <f t="shared" si="137"/>
        <v>0</v>
      </c>
      <c r="W54" s="154">
        <f t="shared" si="138"/>
        <v>9000</v>
      </c>
      <c r="X54" s="117">
        <f t="shared" si="139"/>
        <v>1080</v>
      </c>
      <c r="Y54" s="154">
        <f t="shared" si="128"/>
        <v>68</v>
      </c>
      <c r="Z54" s="155">
        <v>0</v>
      </c>
      <c r="AA54" s="117">
        <v>0</v>
      </c>
      <c r="AB54" s="154">
        <f t="shared" si="140"/>
        <v>1148</v>
      </c>
      <c r="AC54" s="154">
        <f t="shared" si="141"/>
        <v>7852</v>
      </c>
      <c r="AD54" s="128">
        <v>1</v>
      </c>
      <c r="AE54" s="128">
        <v>0.5</v>
      </c>
      <c r="AF54" s="159">
        <f>G54+90</f>
        <v>46215</v>
      </c>
      <c r="AG54" s="162"/>
    </row>
    <row r="55" spans="1:35" s="161" customFormat="1" x14ac:dyDescent="0.35">
      <c r="A55" s="28">
        <v>49</v>
      </c>
      <c r="B55" s="115" t="s">
        <v>272</v>
      </c>
      <c r="C55" s="117" t="s">
        <v>274</v>
      </c>
      <c r="D55" s="118">
        <v>37309</v>
      </c>
      <c r="E55" s="115" t="s">
        <v>278</v>
      </c>
      <c r="F55" s="117">
        <v>1847</v>
      </c>
      <c r="G55" s="118">
        <v>46125</v>
      </c>
      <c r="H55" s="118"/>
      <c r="I55" s="156" t="s">
        <v>201</v>
      </c>
      <c r="J55" s="156" t="s">
        <v>201</v>
      </c>
      <c r="K55" s="157">
        <v>18</v>
      </c>
      <c r="L55" s="140">
        <v>18</v>
      </c>
      <c r="M55" s="117">
        <v>16030</v>
      </c>
      <c r="N55" s="117">
        <v>8970</v>
      </c>
      <c r="O55" s="117">
        <v>0</v>
      </c>
      <c r="P55" s="117">
        <v>0</v>
      </c>
      <c r="Q55" s="117">
        <f t="shared" si="132"/>
        <v>25000</v>
      </c>
      <c r="R55" s="117">
        <f t="shared" si="133"/>
        <v>25000</v>
      </c>
      <c r="S55" s="154">
        <f t="shared" si="134"/>
        <v>9618</v>
      </c>
      <c r="T55" s="154">
        <f t="shared" si="135"/>
        <v>5382</v>
      </c>
      <c r="U55" s="154">
        <f t="shared" si="136"/>
        <v>0</v>
      </c>
      <c r="V55" s="154">
        <f t="shared" si="137"/>
        <v>0</v>
      </c>
      <c r="W55" s="154">
        <f t="shared" si="138"/>
        <v>15000</v>
      </c>
      <c r="X55" s="117">
        <f t="shared" si="139"/>
        <v>1080</v>
      </c>
      <c r="Y55" s="154">
        <v>0</v>
      </c>
      <c r="Z55" s="155">
        <v>0</v>
      </c>
      <c r="AA55" s="117">
        <v>0</v>
      </c>
      <c r="AB55" s="154">
        <f t="shared" si="140"/>
        <v>1080</v>
      </c>
      <c r="AC55" s="154">
        <f t="shared" si="141"/>
        <v>13920</v>
      </c>
      <c r="AD55" s="128">
        <v>1</v>
      </c>
      <c r="AE55" s="128">
        <v>0.5</v>
      </c>
      <c r="AF55" s="159">
        <f>G55+90</f>
        <v>46215</v>
      </c>
      <c r="AG55" s="162"/>
    </row>
    <row r="56" spans="1:35" s="161" customFormat="1" x14ac:dyDescent="0.35">
      <c r="A56" s="28">
        <v>50</v>
      </c>
      <c r="B56" s="115" t="s">
        <v>249</v>
      </c>
      <c r="C56" s="117" t="s">
        <v>275</v>
      </c>
      <c r="D56" s="118">
        <v>36715</v>
      </c>
      <c r="E56" s="115" t="s">
        <v>279</v>
      </c>
      <c r="F56" s="117">
        <v>1866</v>
      </c>
      <c r="G56" s="118">
        <v>46128</v>
      </c>
      <c r="H56" s="118"/>
      <c r="I56" s="156" t="s">
        <v>201</v>
      </c>
      <c r="J56" s="156" t="s">
        <v>201</v>
      </c>
      <c r="K56" s="157">
        <v>15</v>
      </c>
      <c r="L56" s="140">
        <v>15</v>
      </c>
      <c r="M56" s="117">
        <v>16030</v>
      </c>
      <c r="N56" s="117">
        <v>12000</v>
      </c>
      <c r="O56" s="117">
        <v>1970</v>
      </c>
      <c r="P56" s="117">
        <v>0</v>
      </c>
      <c r="Q56" s="117">
        <f t="shared" si="132"/>
        <v>30000</v>
      </c>
      <c r="R56" s="117">
        <f t="shared" si="133"/>
        <v>30000</v>
      </c>
      <c r="S56" s="154">
        <f t="shared" si="134"/>
        <v>8015</v>
      </c>
      <c r="T56" s="154">
        <f t="shared" si="135"/>
        <v>6000</v>
      </c>
      <c r="U56" s="154">
        <f t="shared" si="136"/>
        <v>985</v>
      </c>
      <c r="V56" s="154">
        <f t="shared" si="137"/>
        <v>0</v>
      </c>
      <c r="W56" s="154">
        <f t="shared" si="138"/>
        <v>15000</v>
      </c>
      <c r="X56" s="117">
        <f t="shared" si="139"/>
        <v>900</v>
      </c>
      <c r="Y56" s="154">
        <v>0</v>
      </c>
      <c r="Z56" s="155">
        <v>0</v>
      </c>
      <c r="AA56" s="117">
        <v>0</v>
      </c>
      <c r="AB56" s="154">
        <f t="shared" si="140"/>
        <v>900</v>
      </c>
      <c r="AC56" s="154">
        <f t="shared" si="141"/>
        <v>14100</v>
      </c>
      <c r="AD56" s="128">
        <v>1</v>
      </c>
      <c r="AE56" s="128">
        <v>0.5</v>
      </c>
      <c r="AF56" s="159">
        <f>G56+90</f>
        <v>46218</v>
      </c>
      <c r="AG56" s="162"/>
    </row>
    <row r="57" spans="1:35" s="125" customFormat="1" x14ac:dyDescent="0.35">
      <c r="A57" s="17"/>
      <c r="B57" s="40"/>
      <c r="C57" s="17"/>
      <c r="D57" s="36"/>
      <c r="E57" s="40"/>
      <c r="F57" s="17"/>
      <c r="G57" s="36"/>
      <c r="H57" s="36"/>
      <c r="I57" s="123"/>
      <c r="J57" s="123"/>
      <c r="K57" s="123"/>
      <c r="L57" s="120"/>
      <c r="M57" s="17"/>
      <c r="N57" s="17"/>
      <c r="O57" s="17"/>
      <c r="P57" s="96"/>
      <c r="Q57" s="17"/>
      <c r="R57" s="17"/>
      <c r="S57" s="76"/>
      <c r="T57" s="76"/>
      <c r="U57" s="76"/>
      <c r="V57" s="76"/>
      <c r="W57" s="76"/>
      <c r="X57" s="17"/>
      <c r="Y57" s="76"/>
      <c r="Z57" s="88"/>
      <c r="AA57" s="17"/>
      <c r="AB57" s="76"/>
      <c r="AC57" s="92"/>
      <c r="AD57" s="121"/>
      <c r="AE57" s="121"/>
      <c r="AF57" s="70"/>
      <c r="AG57" s="71"/>
    </row>
    <row r="58" spans="1:35" s="31" customFormat="1" ht="18.600000000000001" thickBot="1" x14ac:dyDescent="0.35">
      <c r="A58" s="18"/>
      <c r="B58" s="40"/>
      <c r="C58" s="27"/>
      <c r="D58" s="29"/>
      <c r="E58" s="33"/>
      <c r="F58" s="28"/>
      <c r="G58" s="36"/>
      <c r="H58" s="36"/>
      <c r="I58" s="36"/>
      <c r="J58" s="36"/>
      <c r="K58" s="36"/>
      <c r="L58" s="95"/>
      <c r="M58" s="28"/>
      <c r="N58" s="28"/>
      <c r="O58" s="28"/>
      <c r="P58" s="37"/>
      <c r="Q58" s="41"/>
      <c r="R58" s="41"/>
      <c r="S58" s="42"/>
      <c r="T58" s="42"/>
      <c r="U58" s="42"/>
      <c r="V58" s="42"/>
      <c r="W58" s="43"/>
      <c r="X58" s="34"/>
      <c r="Y58" s="42"/>
      <c r="Z58" s="44"/>
      <c r="AA58" s="41"/>
      <c r="AB58" s="43"/>
      <c r="AC58" s="45"/>
      <c r="AD58" s="17"/>
      <c r="AE58" s="17"/>
      <c r="AF58" s="94"/>
      <c r="AG58" s="52"/>
    </row>
    <row r="59" spans="1:35" ht="18.600000000000001" thickBot="1" x14ac:dyDescent="0.4">
      <c r="A59" s="2"/>
      <c r="C59" s="21"/>
      <c r="D59" s="35"/>
      <c r="E59" s="2"/>
      <c r="F59" s="21"/>
      <c r="G59" s="21"/>
      <c r="H59" s="61"/>
      <c r="I59" s="61"/>
      <c r="J59" s="61"/>
      <c r="K59" s="61"/>
      <c r="L59" s="2"/>
      <c r="M59" s="21"/>
      <c r="N59" s="21"/>
      <c r="O59" s="21"/>
      <c r="P59" s="21"/>
      <c r="Q59" s="46" t="s">
        <v>62</v>
      </c>
      <c r="R59" s="47">
        <f>SUM(R7:R58)</f>
        <v>1484948</v>
      </c>
      <c r="S59" s="47">
        <f t="shared" ref="S59:AC59" si="142">SUM(S7:S58)</f>
        <v>819294</v>
      </c>
      <c r="T59" s="47">
        <f t="shared" si="142"/>
        <v>469492</v>
      </c>
      <c r="U59" s="47">
        <f t="shared" si="142"/>
        <v>71070</v>
      </c>
      <c r="V59" s="47">
        <f t="shared" si="142"/>
        <v>0</v>
      </c>
      <c r="W59" s="47">
        <f t="shared" si="142"/>
        <v>1359856</v>
      </c>
      <c r="X59" s="47">
        <f t="shared" si="142"/>
        <v>59770</v>
      </c>
      <c r="Y59" s="47">
        <f t="shared" si="142"/>
        <v>1091</v>
      </c>
      <c r="Z59" s="47">
        <f t="shared" si="142"/>
        <v>0</v>
      </c>
      <c r="AA59" s="47">
        <f t="shared" si="142"/>
        <v>0</v>
      </c>
      <c r="AB59" s="47">
        <f t="shared" si="142"/>
        <v>60861</v>
      </c>
      <c r="AC59" s="47">
        <f t="shared" si="142"/>
        <v>1298995</v>
      </c>
      <c r="AD59" s="2"/>
      <c r="AE59" s="2"/>
      <c r="AF59" s="2"/>
      <c r="AG59" s="49"/>
    </row>
    <row r="62" spans="1:35" x14ac:dyDescent="0.35">
      <c r="W62" s="168"/>
      <c r="X62" s="168"/>
      <c r="Y62" s="168"/>
      <c r="Z62" s="168"/>
    </row>
  </sheetData>
  <mergeCells count="10">
    <mergeCell ref="AE4:AE5"/>
    <mergeCell ref="AG4:AG5"/>
    <mergeCell ref="A4:A5"/>
    <mergeCell ref="B4:B5"/>
    <mergeCell ref="C4:C5"/>
    <mergeCell ref="D4:D5"/>
    <mergeCell ref="X4:AA4"/>
    <mergeCell ref="AD4:AD5"/>
    <mergeCell ref="AF4:AF5"/>
    <mergeCell ref="G4:G5"/>
  </mergeCells>
  <conditionalFormatting sqref="B16">
    <cfRule type="duplicateValues" dxfId="6" priority="3"/>
    <cfRule type="duplicateValues" dxfId="5" priority="4"/>
  </conditionalFormatting>
  <conditionalFormatting sqref="B20">
    <cfRule type="duplicateValues" dxfId="4" priority="2"/>
  </conditionalFormatting>
  <conditionalFormatting sqref="B48">
    <cfRule type="duplicateValues" dxfId="3" priority="1"/>
  </conditionalFormatting>
  <pageMargins left="0.7" right="0.7" top="0.75" bottom="0.75" header="0.3" footer="0.3"/>
  <pageSetup paperSize="9" scale="3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27"/>
  <sheetViews>
    <sheetView zoomScale="77" zoomScaleNormal="80" zoomScaleSheetLayoutView="70" workbookViewId="0">
      <pane xSplit="4" ySplit="6" topLeftCell="T7" activePane="bottomRight" state="frozen"/>
      <selection activeCell="A2" sqref="A2:G2"/>
      <selection pane="topRight" activeCell="A2" sqref="A2:G2"/>
      <selection pane="bottomLeft" activeCell="A2" sqref="A2:G2"/>
      <selection pane="bottomRight" activeCell="A6" sqref="A6"/>
    </sheetView>
  </sheetViews>
  <sheetFormatPr defaultColWidth="9.33203125" defaultRowHeight="18" x14ac:dyDescent="0.35"/>
  <cols>
    <col min="1" max="1" width="5.44140625" style="1" customWidth="1"/>
    <col min="2" max="2" width="18.6640625" style="1" customWidth="1"/>
    <col min="3" max="3" width="15.6640625" style="1" customWidth="1"/>
    <col min="4" max="4" width="37.5546875" style="2" bestFit="1" customWidth="1"/>
    <col min="5" max="5" width="18.33203125" style="3" customWidth="1"/>
    <col min="6" max="6" width="14.33203125" style="10" customWidth="1"/>
    <col min="7" max="7" width="38" style="1" customWidth="1"/>
    <col min="8" max="8" width="18" style="3" customWidth="1"/>
    <col min="9" max="10" width="12.33203125" style="3" customWidth="1"/>
    <col min="11" max="11" width="16" style="3" customWidth="1"/>
    <col min="12" max="12" width="19.88671875" style="3" customWidth="1"/>
    <col min="13" max="14" width="28" style="3" customWidth="1"/>
    <col min="15" max="15" width="15.33203125" style="3" customWidth="1"/>
    <col min="16" max="17" width="15" style="3" customWidth="1"/>
    <col min="18" max="18" width="17" style="3" customWidth="1"/>
    <col min="19" max="19" width="21.88671875" style="3" customWidth="1"/>
    <col min="20" max="20" width="13.44140625" style="1" customWidth="1"/>
    <col min="21" max="21" width="13" style="3" customWidth="1"/>
    <col min="22" max="22" width="8.44140625" style="3" customWidth="1"/>
    <col min="23" max="23" width="9.44140625" style="3" customWidth="1"/>
    <col min="24" max="24" width="13.109375" style="3" customWidth="1"/>
    <col min="25" max="25" width="9.44140625" style="1" customWidth="1"/>
    <col min="26" max="26" width="11.33203125" style="1" customWidth="1"/>
    <col min="27" max="27" width="13" style="1" customWidth="1"/>
    <col min="28" max="29" width="9.88671875" style="1" customWidth="1"/>
    <col min="30" max="30" width="13.109375" style="1" customWidth="1"/>
    <col min="31" max="31" width="11.33203125" style="1" customWidth="1"/>
    <col min="32" max="33" width="10.88671875" style="1" customWidth="1"/>
    <col min="34" max="34" width="8.44140625" style="1" customWidth="1"/>
    <col min="35" max="35" width="7.6640625" style="1" customWidth="1"/>
    <col min="36" max="36" width="10.88671875" style="1" customWidth="1"/>
    <col min="37" max="37" width="11.44140625" style="3" customWidth="1"/>
    <col min="38" max="38" width="13.109375" style="1" customWidth="1"/>
    <col min="39" max="39" width="12.44140625" style="1" customWidth="1"/>
    <col min="40" max="40" width="32" style="1" customWidth="1"/>
    <col min="41" max="41" width="59.44140625" style="53" customWidth="1"/>
    <col min="42" max="16384" width="9.33203125" style="1"/>
  </cols>
  <sheetData>
    <row r="1" spans="1:41" s="2" customFormat="1" ht="40.5" customHeight="1" x14ac:dyDescent="0.35">
      <c r="A1" s="19" t="s">
        <v>227</v>
      </c>
      <c r="B1" s="20"/>
      <c r="C1" s="20"/>
      <c r="D1" s="20"/>
      <c r="E1" s="20"/>
      <c r="F1" s="20"/>
      <c r="G1" s="20"/>
      <c r="H1" s="54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49"/>
    </row>
    <row r="2" spans="1:41" s="2" customFormat="1" ht="18.75" customHeight="1" x14ac:dyDescent="0.35">
      <c r="A2" s="22" t="s">
        <v>184</v>
      </c>
      <c r="B2" s="20"/>
      <c r="C2" s="20"/>
      <c r="D2" s="20"/>
      <c r="E2" s="20"/>
      <c r="F2" s="20"/>
      <c r="G2" s="93"/>
      <c r="H2" s="55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50"/>
    </row>
    <row r="3" spans="1:41" ht="21" customHeight="1" x14ac:dyDescent="0.35">
      <c r="A3" s="23">
        <v>30</v>
      </c>
      <c r="B3" s="22"/>
      <c r="C3" s="22"/>
      <c r="D3" s="22"/>
      <c r="E3" s="22"/>
      <c r="F3" s="22"/>
      <c r="G3" s="22"/>
      <c r="H3" s="56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"/>
      <c r="AB3" s="2"/>
      <c r="AC3" s="2"/>
      <c r="AD3" s="2"/>
      <c r="AE3" s="2"/>
      <c r="AF3" s="2"/>
      <c r="AG3" s="2"/>
      <c r="AH3" s="2"/>
      <c r="AI3" s="2"/>
      <c r="AJ3" s="2"/>
      <c r="AK3" s="21"/>
      <c r="AL3" s="2"/>
      <c r="AM3" s="2"/>
      <c r="AN3" s="2"/>
      <c r="AO3" s="49"/>
    </row>
    <row r="4" spans="1:41" ht="18.75" customHeight="1" x14ac:dyDescent="0.35">
      <c r="A4" s="173" t="s">
        <v>45</v>
      </c>
      <c r="B4" s="174" t="s">
        <v>0</v>
      </c>
      <c r="C4" s="174" t="s">
        <v>1</v>
      </c>
      <c r="D4" s="175" t="s">
        <v>2</v>
      </c>
      <c r="E4" s="174" t="s">
        <v>3</v>
      </c>
      <c r="F4" s="176" t="s">
        <v>4</v>
      </c>
      <c r="G4" s="4" t="s">
        <v>5</v>
      </c>
      <c r="H4" s="4" t="s">
        <v>6</v>
      </c>
      <c r="I4" s="4" t="s">
        <v>6</v>
      </c>
      <c r="J4" s="174" t="s">
        <v>84</v>
      </c>
      <c r="K4" s="32" t="s">
        <v>100</v>
      </c>
      <c r="L4" s="58"/>
      <c r="M4" s="58"/>
      <c r="N4" s="58"/>
      <c r="O4" s="173" t="s">
        <v>101</v>
      </c>
      <c r="P4" s="173" t="s">
        <v>103</v>
      </c>
      <c r="Q4" s="32"/>
      <c r="R4" s="32"/>
      <c r="S4" s="126">
        <v>46113</v>
      </c>
      <c r="T4" s="4" t="s">
        <v>7</v>
      </c>
      <c r="U4" s="4" t="s">
        <v>55</v>
      </c>
      <c r="V4" s="4" t="s">
        <v>8</v>
      </c>
      <c r="W4" s="8" t="s">
        <v>9</v>
      </c>
      <c r="X4" s="8" t="s">
        <v>56</v>
      </c>
      <c r="Y4" s="5"/>
      <c r="Z4" s="4" t="s">
        <v>7</v>
      </c>
      <c r="AA4" s="4" t="s">
        <v>55</v>
      </c>
      <c r="AB4" s="4" t="s">
        <v>8</v>
      </c>
      <c r="AC4" s="8" t="s">
        <v>9</v>
      </c>
      <c r="AD4" s="8" t="s">
        <v>56</v>
      </c>
      <c r="AE4" s="9" t="s">
        <v>7</v>
      </c>
      <c r="AF4" s="177" t="s">
        <v>10</v>
      </c>
      <c r="AG4" s="177"/>
      <c r="AH4" s="177"/>
      <c r="AI4" s="177"/>
      <c r="AJ4" s="4" t="s">
        <v>11</v>
      </c>
      <c r="AK4" s="4" t="s">
        <v>12</v>
      </c>
      <c r="AL4" s="173" t="s">
        <v>13</v>
      </c>
      <c r="AM4" s="173" t="s">
        <v>14</v>
      </c>
      <c r="AN4" s="178" t="s">
        <v>74</v>
      </c>
      <c r="AO4" s="174" t="s">
        <v>63</v>
      </c>
    </row>
    <row r="5" spans="1:41" s="7" customFormat="1" ht="51" customHeight="1" x14ac:dyDescent="0.3">
      <c r="A5" s="173"/>
      <c r="B5" s="174"/>
      <c r="C5" s="174"/>
      <c r="D5" s="175"/>
      <c r="E5" s="174"/>
      <c r="F5" s="176"/>
      <c r="G5" s="57"/>
      <c r="H5" s="59" t="s">
        <v>145</v>
      </c>
      <c r="I5" s="57" t="s">
        <v>15</v>
      </c>
      <c r="J5" s="174"/>
      <c r="K5" s="32" t="s">
        <v>102</v>
      </c>
      <c r="L5" s="58" t="s">
        <v>119</v>
      </c>
      <c r="M5" s="58" t="s">
        <v>120</v>
      </c>
      <c r="N5" s="58" t="s">
        <v>121</v>
      </c>
      <c r="O5" s="173"/>
      <c r="P5" s="173"/>
      <c r="Q5" s="32" t="s">
        <v>199</v>
      </c>
      <c r="R5" s="32" t="s">
        <v>200</v>
      </c>
      <c r="S5" s="32" t="s">
        <v>197</v>
      </c>
      <c r="T5" s="32" t="s">
        <v>196</v>
      </c>
      <c r="U5" s="57" t="s">
        <v>16</v>
      </c>
      <c r="V5" s="57" t="s">
        <v>16</v>
      </c>
      <c r="W5" s="57" t="s">
        <v>16</v>
      </c>
      <c r="X5" s="57" t="s">
        <v>17</v>
      </c>
      <c r="Y5" s="57"/>
      <c r="Z5" s="32" t="s">
        <v>157</v>
      </c>
      <c r="AA5" s="57" t="s">
        <v>16</v>
      </c>
      <c r="AB5" s="57" t="s">
        <v>16</v>
      </c>
      <c r="AC5" s="57" t="s">
        <v>16</v>
      </c>
      <c r="AD5" s="57" t="s">
        <v>17</v>
      </c>
      <c r="AE5" s="60" t="s">
        <v>16</v>
      </c>
      <c r="AF5" s="57" t="s">
        <v>18</v>
      </c>
      <c r="AG5" s="57" t="s">
        <v>19</v>
      </c>
      <c r="AH5" s="57" t="s">
        <v>20</v>
      </c>
      <c r="AI5" s="57" t="s">
        <v>21</v>
      </c>
      <c r="AJ5" s="57" t="s">
        <v>22</v>
      </c>
      <c r="AK5" s="57" t="s">
        <v>23</v>
      </c>
      <c r="AL5" s="173"/>
      <c r="AM5" s="173"/>
      <c r="AN5" s="178"/>
      <c r="AO5" s="174"/>
    </row>
    <row r="6" spans="1:41" x14ac:dyDescent="0.35">
      <c r="A6" s="12"/>
      <c r="B6" s="12"/>
      <c r="C6" s="12"/>
      <c r="D6" s="13" t="s">
        <v>73</v>
      </c>
      <c r="E6" s="12"/>
      <c r="F6" s="14"/>
      <c r="G6" s="15"/>
      <c r="H6" s="12"/>
      <c r="I6" s="12"/>
      <c r="J6" s="12"/>
      <c r="K6" s="12"/>
      <c r="L6" s="12"/>
      <c r="M6" s="12"/>
      <c r="N6" s="12"/>
      <c r="O6" s="12"/>
      <c r="P6" s="12"/>
      <c r="Q6" s="32"/>
      <c r="R6" s="32"/>
      <c r="S6" s="32"/>
      <c r="T6" s="15" t="s">
        <v>73</v>
      </c>
      <c r="U6" s="12"/>
      <c r="V6" s="12"/>
      <c r="W6" s="12"/>
      <c r="X6" s="12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2"/>
      <c r="AL6" s="15"/>
      <c r="AM6" s="15"/>
      <c r="AN6" s="15"/>
      <c r="AO6" s="51"/>
    </row>
    <row r="7" spans="1:41" s="63" customFormat="1" x14ac:dyDescent="0.35">
      <c r="A7" s="28">
        <v>1</v>
      </c>
      <c r="B7" s="142" t="s">
        <v>27</v>
      </c>
      <c r="C7" s="167" t="s">
        <v>27</v>
      </c>
      <c r="D7" s="39" t="s">
        <v>28</v>
      </c>
      <c r="E7" s="11" t="s">
        <v>29</v>
      </c>
      <c r="F7" s="26">
        <v>33426</v>
      </c>
      <c r="G7" s="77" t="s">
        <v>30</v>
      </c>
      <c r="H7" s="11">
        <v>714</v>
      </c>
      <c r="I7" s="11" t="s">
        <v>31</v>
      </c>
      <c r="J7" s="26">
        <v>44032</v>
      </c>
      <c r="K7" s="26" t="s">
        <v>27</v>
      </c>
      <c r="L7" s="26" t="s">
        <v>122</v>
      </c>
      <c r="M7" s="75" t="s">
        <v>153</v>
      </c>
      <c r="N7" s="75" t="s">
        <v>158</v>
      </c>
      <c r="O7" s="39" t="s">
        <v>117</v>
      </c>
      <c r="P7" s="39" t="s">
        <v>118</v>
      </c>
      <c r="Q7" s="144">
        <v>2</v>
      </c>
      <c r="R7" s="144">
        <v>0</v>
      </c>
      <c r="S7" s="144">
        <v>30</v>
      </c>
      <c r="T7" s="134">
        <v>30</v>
      </c>
      <c r="U7" s="11">
        <v>47500</v>
      </c>
      <c r="V7" s="11">
        <v>38000</v>
      </c>
      <c r="W7" s="11">
        <v>9500</v>
      </c>
      <c r="X7" s="11">
        <v>0</v>
      </c>
      <c r="Y7" s="11">
        <f t="shared" ref="Y7" si="0">U7+V7+W7+X7</f>
        <v>95000</v>
      </c>
      <c r="Z7" s="11">
        <f t="shared" ref="Z7" si="1">Y7</f>
        <v>95000</v>
      </c>
      <c r="AA7" s="76">
        <f t="shared" ref="AA7" si="2">ROUND(U7/$A$3*T7,0)</f>
        <v>47500</v>
      </c>
      <c r="AB7" s="76">
        <f t="shared" ref="AB7" si="3">ROUND(V7/$A$3*T7,0)</f>
        <v>38000</v>
      </c>
      <c r="AC7" s="76">
        <f t="shared" ref="AC7" si="4">ROUND(W7/$A$3*T7,0)</f>
        <v>9500</v>
      </c>
      <c r="AD7" s="76">
        <f t="shared" ref="AD7" si="5">ROUND(X7/$A$3*T7,0)</f>
        <v>0</v>
      </c>
      <c r="AE7" s="76">
        <f t="shared" ref="AE7" si="6">AA7+AB7+AC7+AD7</f>
        <v>95000</v>
      </c>
      <c r="AF7" s="17">
        <v>0</v>
      </c>
      <c r="AG7" s="76">
        <v>0</v>
      </c>
      <c r="AH7" s="78">
        <v>0</v>
      </c>
      <c r="AI7" s="11">
        <v>0</v>
      </c>
      <c r="AJ7" s="76">
        <f t="shared" ref="AJ7" si="7">AF7+AG7+AH7+AI7</f>
        <v>0</v>
      </c>
      <c r="AK7" s="92">
        <f t="shared" ref="AK7" si="8">AE7-AJ7</f>
        <v>95000</v>
      </c>
      <c r="AL7" s="137">
        <f>2+1</f>
        <v>3</v>
      </c>
      <c r="AM7" s="137">
        <v>0.5</v>
      </c>
      <c r="AN7" s="11"/>
      <c r="AO7" s="38"/>
    </row>
    <row r="8" spans="1:41" s="68" customFormat="1" x14ac:dyDescent="0.35">
      <c r="A8" s="28">
        <v>2</v>
      </c>
      <c r="B8" s="143" t="s">
        <v>190</v>
      </c>
      <c r="C8" s="165" t="s">
        <v>223</v>
      </c>
      <c r="D8" s="40" t="s">
        <v>204</v>
      </c>
      <c r="E8" s="27" t="s">
        <v>282</v>
      </c>
      <c r="F8" s="29">
        <v>36989</v>
      </c>
      <c r="G8" s="33" t="s">
        <v>220</v>
      </c>
      <c r="H8" s="28">
        <v>1801</v>
      </c>
      <c r="I8" s="17"/>
      <c r="J8" s="36">
        <v>46120</v>
      </c>
      <c r="K8" s="36"/>
      <c r="L8" s="75" t="s">
        <v>123</v>
      </c>
      <c r="M8" s="75" t="s">
        <v>27</v>
      </c>
      <c r="N8" s="75" t="s">
        <v>27</v>
      </c>
      <c r="O8" s="40" t="s">
        <v>224</v>
      </c>
      <c r="P8" s="40" t="s">
        <v>225</v>
      </c>
      <c r="Q8" s="40" t="s">
        <v>226</v>
      </c>
      <c r="R8" s="40" t="s">
        <v>226</v>
      </c>
      <c r="S8" s="145">
        <v>23</v>
      </c>
      <c r="T8" s="138">
        <v>23</v>
      </c>
      <c r="U8" s="28">
        <v>16030</v>
      </c>
      <c r="V8" s="28">
        <v>1970</v>
      </c>
      <c r="W8" s="28">
        <v>0</v>
      </c>
      <c r="X8" s="37">
        <v>0</v>
      </c>
      <c r="Y8" s="28">
        <f t="shared" ref="Y8:Y23" si="9">U8+V8+W8+X8</f>
        <v>18000</v>
      </c>
      <c r="Z8" s="28">
        <f t="shared" ref="Z8:Z23" si="10">Y8</f>
        <v>18000</v>
      </c>
      <c r="AA8" s="76">
        <f t="shared" ref="AA8:AA23" si="11">ROUND(U8/$A$3*T8,0)</f>
        <v>12290</v>
      </c>
      <c r="AB8" s="76">
        <f t="shared" ref="AB8:AB23" si="12">ROUND(V8/$A$3*T8,0)</f>
        <v>1510</v>
      </c>
      <c r="AC8" s="76">
        <f t="shared" ref="AC8:AC23" si="13">ROUND(W8/$A$3*T8,0)</f>
        <v>0</v>
      </c>
      <c r="AD8" s="76">
        <f t="shared" ref="AD8:AD23" si="14">ROUND(X8/$A$3*T8,0)</f>
        <v>0</v>
      </c>
      <c r="AE8" s="76">
        <f t="shared" ref="AE8:AE23" si="15">AA8+AB8+AC8+AD8</f>
        <v>13800</v>
      </c>
      <c r="AF8" s="17">
        <f t="shared" ref="AF8:AF17" si="16">ROUND(IF(U8&gt;15000,(15000/$A$3*T8)*12%,AA8*12%)*1,0)</f>
        <v>1380</v>
      </c>
      <c r="AG8" s="76">
        <f t="shared" ref="AG8:AG23" si="17">ROUNDUP(AE8*0.75%,0)</f>
        <v>104</v>
      </c>
      <c r="AH8" s="78">
        <v>0</v>
      </c>
      <c r="AI8" s="11">
        <v>0</v>
      </c>
      <c r="AJ8" s="76">
        <f t="shared" ref="AJ8:AJ23" si="18">AF8+AG8+AH8+AI8</f>
        <v>1484</v>
      </c>
      <c r="AK8" s="92">
        <f t="shared" ref="AK8:AK23" si="19">AE8-AJ8</f>
        <v>12316</v>
      </c>
      <c r="AL8" s="128">
        <v>1</v>
      </c>
      <c r="AM8" s="128">
        <v>0.5</v>
      </c>
      <c r="AN8" s="66">
        <v>46210</v>
      </c>
      <c r="AO8" s="71"/>
    </row>
    <row r="9" spans="1:41" s="68" customFormat="1" x14ac:dyDescent="0.35">
      <c r="A9" s="28">
        <v>3</v>
      </c>
      <c r="B9" s="143" t="s">
        <v>190</v>
      </c>
      <c r="C9" s="165" t="s">
        <v>223</v>
      </c>
      <c r="D9" s="40" t="s">
        <v>205</v>
      </c>
      <c r="E9" s="27" t="s">
        <v>283</v>
      </c>
      <c r="F9" s="29">
        <v>37125</v>
      </c>
      <c r="G9" s="33" t="s">
        <v>221</v>
      </c>
      <c r="H9" s="28">
        <v>1793</v>
      </c>
      <c r="I9" s="17"/>
      <c r="J9" s="36">
        <v>46120</v>
      </c>
      <c r="K9" s="36"/>
      <c r="L9" s="75" t="s">
        <v>123</v>
      </c>
      <c r="M9" s="75" t="s">
        <v>27</v>
      </c>
      <c r="N9" s="75" t="s">
        <v>27</v>
      </c>
      <c r="O9" s="40" t="s">
        <v>224</v>
      </c>
      <c r="P9" s="40" t="s">
        <v>225</v>
      </c>
      <c r="Q9" s="40" t="s">
        <v>226</v>
      </c>
      <c r="R9" s="40" t="s">
        <v>226</v>
      </c>
      <c r="S9" s="145">
        <v>23</v>
      </c>
      <c r="T9" s="138">
        <v>23</v>
      </c>
      <c r="U9" s="28">
        <v>16030</v>
      </c>
      <c r="V9" s="28">
        <v>3970</v>
      </c>
      <c r="W9" s="28">
        <v>0</v>
      </c>
      <c r="X9" s="37">
        <v>0</v>
      </c>
      <c r="Y9" s="28">
        <f t="shared" si="9"/>
        <v>20000</v>
      </c>
      <c r="Z9" s="28">
        <f t="shared" si="10"/>
        <v>20000</v>
      </c>
      <c r="AA9" s="76">
        <f t="shared" si="11"/>
        <v>12290</v>
      </c>
      <c r="AB9" s="76">
        <f t="shared" si="12"/>
        <v>3044</v>
      </c>
      <c r="AC9" s="76">
        <f t="shared" si="13"/>
        <v>0</v>
      </c>
      <c r="AD9" s="76">
        <f t="shared" si="14"/>
        <v>0</v>
      </c>
      <c r="AE9" s="76">
        <f t="shared" si="15"/>
        <v>15334</v>
      </c>
      <c r="AF9" s="17">
        <f t="shared" si="16"/>
        <v>1380</v>
      </c>
      <c r="AG9" s="76">
        <f t="shared" si="17"/>
        <v>116</v>
      </c>
      <c r="AH9" s="78">
        <v>0</v>
      </c>
      <c r="AI9" s="11">
        <v>0</v>
      </c>
      <c r="AJ9" s="76">
        <f t="shared" si="18"/>
        <v>1496</v>
      </c>
      <c r="AK9" s="92">
        <f t="shared" si="19"/>
        <v>13838</v>
      </c>
      <c r="AL9" s="128">
        <v>1</v>
      </c>
      <c r="AM9" s="128">
        <v>0.5</v>
      </c>
      <c r="AN9" s="66">
        <v>46210</v>
      </c>
      <c r="AO9" s="71"/>
    </row>
    <row r="10" spans="1:41" s="68" customFormat="1" x14ac:dyDescent="0.35">
      <c r="A10" s="28">
        <v>4</v>
      </c>
      <c r="B10" s="143" t="s">
        <v>27</v>
      </c>
      <c r="C10" s="165" t="s">
        <v>223</v>
      </c>
      <c r="D10" s="40" t="s">
        <v>206</v>
      </c>
      <c r="E10" s="27" t="s">
        <v>284</v>
      </c>
      <c r="F10" s="29">
        <v>36848</v>
      </c>
      <c r="G10" s="33" t="s">
        <v>222</v>
      </c>
      <c r="H10" s="28">
        <v>1800</v>
      </c>
      <c r="I10" s="17"/>
      <c r="J10" s="36">
        <v>46120</v>
      </c>
      <c r="K10" s="36"/>
      <c r="L10" s="75" t="s">
        <v>123</v>
      </c>
      <c r="M10" s="75" t="s">
        <v>27</v>
      </c>
      <c r="N10" s="75" t="s">
        <v>27</v>
      </c>
      <c r="O10" s="40" t="s">
        <v>224</v>
      </c>
      <c r="P10" s="40" t="s">
        <v>225</v>
      </c>
      <c r="Q10" s="40" t="s">
        <v>226</v>
      </c>
      <c r="R10" s="40" t="s">
        <v>226</v>
      </c>
      <c r="S10" s="145">
        <v>23</v>
      </c>
      <c r="T10" s="138">
        <v>23</v>
      </c>
      <c r="U10" s="28">
        <v>10000</v>
      </c>
      <c r="V10" s="28">
        <v>0</v>
      </c>
      <c r="W10" s="28">
        <v>0</v>
      </c>
      <c r="X10" s="37">
        <v>0</v>
      </c>
      <c r="Y10" s="28">
        <f t="shared" si="9"/>
        <v>10000</v>
      </c>
      <c r="Z10" s="28">
        <f t="shared" si="10"/>
        <v>10000</v>
      </c>
      <c r="AA10" s="76">
        <f t="shared" si="11"/>
        <v>7667</v>
      </c>
      <c r="AB10" s="76">
        <f t="shared" si="12"/>
        <v>0</v>
      </c>
      <c r="AC10" s="76">
        <f t="shared" si="13"/>
        <v>0</v>
      </c>
      <c r="AD10" s="76">
        <f t="shared" si="14"/>
        <v>0</v>
      </c>
      <c r="AE10" s="76">
        <f t="shared" si="15"/>
        <v>7667</v>
      </c>
      <c r="AF10" s="17">
        <v>0</v>
      </c>
      <c r="AG10" s="76">
        <f t="shared" si="17"/>
        <v>58</v>
      </c>
      <c r="AH10" s="78">
        <v>0</v>
      </c>
      <c r="AI10" s="11">
        <v>0</v>
      </c>
      <c r="AJ10" s="76">
        <f t="shared" si="18"/>
        <v>58</v>
      </c>
      <c r="AK10" s="92">
        <f t="shared" si="19"/>
        <v>7609</v>
      </c>
      <c r="AL10" s="128">
        <v>1</v>
      </c>
      <c r="AM10" s="128">
        <v>0.5</v>
      </c>
      <c r="AN10" s="66">
        <v>46210</v>
      </c>
      <c r="AO10" s="71"/>
    </row>
    <row r="11" spans="1:41" s="68" customFormat="1" x14ac:dyDescent="0.35">
      <c r="A11" s="28">
        <v>5</v>
      </c>
      <c r="B11" s="143" t="s">
        <v>27</v>
      </c>
      <c r="C11" s="165" t="s">
        <v>223</v>
      </c>
      <c r="D11" s="40" t="s">
        <v>207</v>
      </c>
      <c r="E11" s="27" t="s">
        <v>285</v>
      </c>
      <c r="F11" s="29">
        <v>38297</v>
      </c>
      <c r="G11" s="33" t="s">
        <v>276</v>
      </c>
      <c r="H11" s="28">
        <v>1799</v>
      </c>
      <c r="I11" s="17"/>
      <c r="J11" s="36">
        <v>46120</v>
      </c>
      <c r="K11" s="36"/>
      <c r="L11" s="75" t="s">
        <v>123</v>
      </c>
      <c r="M11" s="75" t="s">
        <v>27</v>
      </c>
      <c r="N11" s="75" t="s">
        <v>27</v>
      </c>
      <c r="O11" s="40" t="s">
        <v>224</v>
      </c>
      <c r="P11" s="40" t="s">
        <v>225</v>
      </c>
      <c r="Q11" s="40" t="s">
        <v>226</v>
      </c>
      <c r="R11" s="40" t="s">
        <v>226</v>
      </c>
      <c r="S11" s="145">
        <v>20</v>
      </c>
      <c r="T11" s="138">
        <f>20+1.5</f>
        <v>21.5</v>
      </c>
      <c r="U11" s="28">
        <v>10000</v>
      </c>
      <c r="V11" s="28">
        <v>0</v>
      </c>
      <c r="W11" s="28">
        <v>0</v>
      </c>
      <c r="X11" s="37">
        <v>0</v>
      </c>
      <c r="Y11" s="28">
        <f t="shared" si="9"/>
        <v>10000</v>
      </c>
      <c r="Z11" s="28">
        <f t="shared" si="10"/>
        <v>10000</v>
      </c>
      <c r="AA11" s="76">
        <f t="shared" si="11"/>
        <v>7167</v>
      </c>
      <c r="AB11" s="76">
        <f t="shared" si="12"/>
        <v>0</v>
      </c>
      <c r="AC11" s="76">
        <f t="shared" si="13"/>
        <v>0</v>
      </c>
      <c r="AD11" s="76">
        <f t="shared" si="14"/>
        <v>0</v>
      </c>
      <c r="AE11" s="76">
        <f t="shared" si="15"/>
        <v>7167</v>
      </c>
      <c r="AF11" s="17">
        <v>0</v>
      </c>
      <c r="AG11" s="76">
        <f t="shared" si="17"/>
        <v>54</v>
      </c>
      <c r="AH11" s="78">
        <v>0</v>
      </c>
      <c r="AI11" s="11">
        <v>0</v>
      </c>
      <c r="AJ11" s="76">
        <f t="shared" si="18"/>
        <v>54</v>
      </c>
      <c r="AK11" s="92">
        <f t="shared" si="19"/>
        <v>7113</v>
      </c>
      <c r="AL11" s="128">
        <v>0</v>
      </c>
      <c r="AM11" s="128">
        <v>0</v>
      </c>
      <c r="AN11" s="66">
        <v>46210</v>
      </c>
      <c r="AO11" s="71"/>
    </row>
    <row r="12" spans="1:41" s="68" customFormat="1" x14ac:dyDescent="0.35">
      <c r="A12" s="28">
        <v>6</v>
      </c>
      <c r="B12" s="143" t="s">
        <v>190</v>
      </c>
      <c r="C12" s="165" t="s">
        <v>223</v>
      </c>
      <c r="D12" s="40" t="s">
        <v>208</v>
      </c>
      <c r="E12" s="29" t="s">
        <v>287</v>
      </c>
      <c r="F12" s="29">
        <v>36961</v>
      </c>
      <c r="G12" s="33" t="s">
        <v>286</v>
      </c>
      <c r="H12" s="28">
        <v>1792</v>
      </c>
      <c r="I12" s="17"/>
      <c r="J12" s="36">
        <v>46120</v>
      </c>
      <c r="K12" s="36"/>
      <c r="L12" s="75" t="s">
        <v>123</v>
      </c>
      <c r="M12" s="75" t="s">
        <v>27</v>
      </c>
      <c r="N12" s="75" t="s">
        <v>27</v>
      </c>
      <c r="O12" s="40" t="s">
        <v>224</v>
      </c>
      <c r="P12" s="40" t="s">
        <v>225</v>
      </c>
      <c r="Q12" s="40" t="s">
        <v>226</v>
      </c>
      <c r="R12" s="40" t="s">
        <v>226</v>
      </c>
      <c r="S12" s="145">
        <v>22</v>
      </c>
      <c r="T12" s="138">
        <f>22+1</f>
        <v>23</v>
      </c>
      <c r="U12" s="28">
        <v>15000</v>
      </c>
      <c r="V12" s="28">
        <v>0</v>
      </c>
      <c r="W12" s="28">
        <v>0</v>
      </c>
      <c r="X12" s="37">
        <v>0</v>
      </c>
      <c r="Y12" s="28">
        <f t="shared" si="9"/>
        <v>15000</v>
      </c>
      <c r="Z12" s="28">
        <f t="shared" si="10"/>
        <v>15000</v>
      </c>
      <c r="AA12" s="76">
        <f t="shared" si="11"/>
        <v>11500</v>
      </c>
      <c r="AB12" s="76">
        <f t="shared" si="12"/>
        <v>0</v>
      </c>
      <c r="AC12" s="76">
        <f t="shared" si="13"/>
        <v>0</v>
      </c>
      <c r="AD12" s="76">
        <f t="shared" si="14"/>
        <v>0</v>
      </c>
      <c r="AE12" s="76">
        <f t="shared" si="15"/>
        <v>11500</v>
      </c>
      <c r="AF12" s="17">
        <f t="shared" si="16"/>
        <v>1380</v>
      </c>
      <c r="AG12" s="76">
        <f t="shared" si="17"/>
        <v>87</v>
      </c>
      <c r="AH12" s="78">
        <v>0</v>
      </c>
      <c r="AI12" s="11">
        <v>0</v>
      </c>
      <c r="AJ12" s="76">
        <f t="shared" si="18"/>
        <v>1467</v>
      </c>
      <c r="AK12" s="92">
        <f t="shared" si="19"/>
        <v>10033</v>
      </c>
      <c r="AL12" s="128">
        <v>0.5</v>
      </c>
      <c r="AM12" s="128">
        <v>0</v>
      </c>
      <c r="AN12" s="66">
        <v>46210</v>
      </c>
      <c r="AO12" s="71"/>
    </row>
    <row r="13" spans="1:41" s="68" customFormat="1" x14ac:dyDescent="0.35">
      <c r="A13" s="28">
        <v>7</v>
      </c>
      <c r="B13" s="143" t="s">
        <v>27</v>
      </c>
      <c r="C13" s="165" t="s">
        <v>223</v>
      </c>
      <c r="D13" s="40" t="s">
        <v>209</v>
      </c>
      <c r="E13" s="27" t="s">
        <v>289</v>
      </c>
      <c r="F13" s="29">
        <v>37980</v>
      </c>
      <c r="G13" s="33" t="s">
        <v>288</v>
      </c>
      <c r="H13" s="28">
        <v>1796</v>
      </c>
      <c r="I13" s="17"/>
      <c r="J13" s="36">
        <v>46120</v>
      </c>
      <c r="K13" s="36"/>
      <c r="L13" s="75" t="s">
        <v>123</v>
      </c>
      <c r="M13" s="75" t="s">
        <v>27</v>
      </c>
      <c r="N13" s="75" t="s">
        <v>27</v>
      </c>
      <c r="O13" s="40" t="s">
        <v>224</v>
      </c>
      <c r="P13" s="40" t="s">
        <v>225</v>
      </c>
      <c r="Q13" s="40" t="s">
        <v>226</v>
      </c>
      <c r="R13" s="40" t="s">
        <v>226</v>
      </c>
      <c r="S13" s="145">
        <v>18</v>
      </c>
      <c r="T13" s="138">
        <f>18+1.5</f>
        <v>19.5</v>
      </c>
      <c r="U13" s="28">
        <v>16030</v>
      </c>
      <c r="V13" s="28">
        <v>1970</v>
      </c>
      <c r="W13" s="28">
        <v>0</v>
      </c>
      <c r="X13" s="37">
        <v>0</v>
      </c>
      <c r="Y13" s="28">
        <f t="shared" si="9"/>
        <v>18000</v>
      </c>
      <c r="Z13" s="28">
        <f t="shared" si="10"/>
        <v>18000</v>
      </c>
      <c r="AA13" s="76">
        <f t="shared" si="11"/>
        <v>10420</v>
      </c>
      <c r="AB13" s="76">
        <f t="shared" si="12"/>
        <v>1281</v>
      </c>
      <c r="AC13" s="76">
        <f t="shared" si="13"/>
        <v>0</v>
      </c>
      <c r="AD13" s="76">
        <f t="shared" si="14"/>
        <v>0</v>
      </c>
      <c r="AE13" s="76">
        <f t="shared" si="15"/>
        <v>11701</v>
      </c>
      <c r="AF13" s="17">
        <v>0</v>
      </c>
      <c r="AG13" s="76">
        <f t="shared" si="17"/>
        <v>88</v>
      </c>
      <c r="AH13" s="78">
        <v>0</v>
      </c>
      <c r="AI13" s="11">
        <v>0</v>
      </c>
      <c r="AJ13" s="76">
        <f t="shared" si="18"/>
        <v>88</v>
      </c>
      <c r="AK13" s="92">
        <f t="shared" si="19"/>
        <v>11613</v>
      </c>
      <c r="AL13" s="128">
        <v>0</v>
      </c>
      <c r="AM13" s="128">
        <v>0</v>
      </c>
      <c r="AN13" s="66">
        <v>46210</v>
      </c>
      <c r="AO13" s="71"/>
    </row>
    <row r="14" spans="1:41" s="114" customFormat="1" x14ac:dyDescent="0.35">
      <c r="A14" s="28">
        <v>8</v>
      </c>
      <c r="B14" s="164" t="s">
        <v>27</v>
      </c>
      <c r="C14" s="166" t="s">
        <v>223</v>
      </c>
      <c r="D14" s="108" t="s">
        <v>210</v>
      </c>
      <c r="E14" s="100" t="s">
        <v>291</v>
      </c>
      <c r="F14" s="111">
        <v>38993</v>
      </c>
      <c r="G14" s="108" t="s">
        <v>290</v>
      </c>
      <c r="H14" s="100">
        <v>1803</v>
      </c>
      <c r="I14" s="100"/>
      <c r="J14" s="111">
        <v>46120</v>
      </c>
      <c r="K14" s="111"/>
      <c r="L14" s="102" t="s">
        <v>123</v>
      </c>
      <c r="M14" s="102" t="s">
        <v>27</v>
      </c>
      <c r="N14" s="102" t="s">
        <v>27</v>
      </c>
      <c r="O14" s="108" t="s">
        <v>224</v>
      </c>
      <c r="P14" s="108" t="s">
        <v>225</v>
      </c>
      <c r="Q14" s="108" t="s">
        <v>226</v>
      </c>
      <c r="R14" s="108" t="s">
        <v>226</v>
      </c>
      <c r="S14" s="146">
        <v>19</v>
      </c>
      <c r="T14" s="132">
        <f>19+1</f>
        <v>20</v>
      </c>
      <c r="U14" s="100">
        <v>10000</v>
      </c>
      <c r="V14" s="100">
        <v>0</v>
      </c>
      <c r="W14" s="100">
        <v>0</v>
      </c>
      <c r="X14" s="112">
        <v>0</v>
      </c>
      <c r="Y14" s="100">
        <f t="shared" si="9"/>
        <v>10000</v>
      </c>
      <c r="Z14" s="100">
        <f t="shared" si="10"/>
        <v>10000</v>
      </c>
      <c r="AA14" s="104">
        <f t="shared" si="11"/>
        <v>6667</v>
      </c>
      <c r="AB14" s="104">
        <f t="shared" si="12"/>
        <v>0</v>
      </c>
      <c r="AC14" s="104">
        <f t="shared" si="13"/>
        <v>0</v>
      </c>
      <c r="AD14" s="104">
        <f t="shared" si="14"/>
        <v>0</v>
      </c>
      <c r="AE14" s="104">
        <f t="shared" si="15"/>
        <v>6667</v>
      </c>
      <c r="AF14" s="100">
        <v>0</v>
      </c>
      <c r="AG14" s="104">
        <f t="shared" si="17"/>
        <v>51</v>
      </c>
      <c r="AH14" s="105">
        <v>0</v>
      </c>
      <c r="AI14" s="101">
        <v>0</v>
      </c>
      <c r="AJ14" s="104">
        <f t="shared" si="18"/>
        <v>51</v>
      </c>
      <c r="AK14" s="106">
        <f t="shared" si="19"/>
        <v>6616</v>
      </c>
      <c r="AL14" s="130">
        <v>0</v>
      </c>
      <c r="AM14" s="130">
        <v>0</v>
      </c>
      <c r="AN14" s="66">
        <v>46210</v>
      </c>
      <c r="AO14" s="67" t="s">
        <v>177</v>
      </c>
    </row>
    <row r="15" spans="1:41" s="68" customFormat="1" x14ac:dyDescent="0.35">
      <c r="A15" s="28">
        <v>9</v>
      </c>
      <c r="B15" s="143" t="s">
        <v>190</v>
      </c>
      <c r="C15" s="165" t="s">
        <v>223</v>
      </c>
      <c r="D15" s="40" t="s">
        <v>211</v>
      </c>
      <c r="E15" s="27" t="s">
        <v>293</v>
      </c>
      <c r="F15" s="29">
        <v>36500</v>
      </c>
      <c r="G15" s="33" t="s">
        <v>292</v>
      </c>
      <c r="H15" s="28">
        <v>1794</v>
      </c>
      <c r="I15" s="17"/>
      <c r="J15" s="36">
        <v>46120</v>
      </c>
      <c r="K15" s="36"/>
      <c r="L15" s="75" t="s">
        <v>123</v>
      </c>
      <c r="M15" s="75" t="s">
        <v>27</v>
      </c>
      <c r="N15" s="75" t="s">
        <v>27</v>
      </c>
      <c r="O15" s="40" t="s">
        <v>224</v>
      </c>
      <c r="P15" s="40" t="s">
        <v>225</v>
      </c>
      <c r="Q15" s="40" t="s">
        <v>226</v>
      </c>
      <c r="R15" s="40" t="s">
        <v>226</v>
      </c>
      <c r="S15" s="145">
        <v>21</v>
      </c>
      <c r="T15" s="138">
        <f>21+1.5</f>
        <v>22.5</v>
      </c>
      <c r="U15" s="28">
        <v>16030</v>
      </c>
      <c r="V15" s="28">
        <v>1970</v>
      </c>
      <c r="W15" s="28">
        <v>0</v>
      </c>
      <c r="X15" s="37">
        <v>0</v>
      </c>
      <c r="Y15" s="28">
        <f t="shared" si="9"/>
        <v>18000</v>
      </c>
      <c r="Z15" s="28">
        <f t="shared" si="10"/>
        <v>18000</v>
      </c>
      <c r="AA15" s="76">
        <f t="shared" si="11"/>
        <v>12023</v>
      </c>
      <c r="AB15" s="76">
        <f t="shared" si="12"/>
        <v>1478</v>
      </c>
      <c r="AC15" s="76">
        <f t="shared" si="13"/>
        <v>0</v>
      </c>
      <c r="AD15" s="76">
        <f t="shared" si="14"/>
        <v>0</v>
      </c>
      <c r="AE15" s="76">
        <f t="shared" si="15"/>
        <v>13501</v>
      </c>
      <c r="AF15" s="17">
        <f t="shared" si="16"/>
        <v>1350</v>
      </c>
      <c r="AG15" s="76">
        <f t="shared" si="17"/>
        <v>102</v>
      </c>
      <c r="AH15" s="78">
        <v>0</v>
      </c>
      <c r="AI15" s="11">
        <v>0</v>
      </c>
      <c r="AJ15" s="76">
        <f t="shared" si="18"/>
        <v>1452</v>
      </c>
      <c r="AK15" s="92">
        <f t="shared" si="19"/>
        <v>12049</v>
      </c>
      <c r="AL15" s="128">
        <v>0</v>
      </c>
      <c r="AM15" s="128">
        <v>0</v>
      </c>
      <c r="AN15" s="66">
        <v>46210</v>
      </c>
      <c r="AO15" s="71"/>
    </row>
    <row r="16" spans="1:41" s="68" customFormat="1" x14ac:dyDescent="0.35">
      <c r="A16" s="28">
        <v>10</v>
      </c>
      <c r="B16" s="143" t="s">
        <v>190</v>
      </c>
      <c r="C16" s="165" t="s">
        <v>223</v>
      </c>
      <c r="D16" s="40" t="s">
        <v>212</v>
      </c>
      <c r="E16" s="27" t="s">
        <v>295</v>
      </c>
      <c r="F16" s="29">
        <v>37692</v>
      </c>
      <c r="G16" s="33" t="s">
        <v>294</v>
      </c>
      <c r="H16" s="28">
        <v>1802</v>
      </c>
      <c r="I16" s="17"/>
      <c r="J16" s="36">
        <v>46120</v>
      </c>
      <c r="K16" s="36"/>
      <c r="L16" s="75" t="s">
        <v>123</v>
      </c>
      <c r="M16" s="75" t="s">
        <v>27</v>
      </c>
      <c r="N16" s="75" t="s">
        <v>27</v>
      </c>
      <c r="O16" s="40" t="s">
        <v>224</v>
      </c>
      <c r="P16" s="40" t="s">
        <v>225</v>
      </c>
      <c r="Q16" s="40" t="s">
        <v>226</v>
      </c>
      <c r="R16" s="40" t="s">
        <v>226</v>
      </c>
      <c r="S16" s="145">
        <v>23</v>
      </c>
      <c r="T16" s="138">
        <v>23</v>
      </c>
      <c r="U16" s="28">
        <v>15000</v>
      </c>
      <c r="V16" s="28">
        <v>0</v>
      </c>
      <c r="W16" s="28">
        <v>0</v>
      </c>
      <c r="X16" s="37">
        <v>0</v>
      </c>
      <c r="Y16" s="28">
        <f t="shared" si="9"/>
        <v>15000</v>
      </c>
      <c r="Z16" s="28">
        <f t="shared" si="10"/>
        <v>15000</v>
      </c>
      <c r="AA16" s="76">
        <f t="shared" si="11"/>
        <v>11500</v>
      </c>
      <c r="AB16" s="76">
        <f t="shared" si="12"/>
        <v>0</v>
      </c>
      <c r="AC16" s="76">
        <f t="shared" si="13"/>
        <v>0</v>
      </c>
      <c r="AD16" s="76">
        <f t="shared" si="14"/>
        <v>0</v>
      </c>
      <c r="AE16" s="76">
        <f t="shared" si="15"/>
        <v>11500</v>
      </c>
      <c r="AF16" s="17">
        <f t="shared" si="16"/>
        <v>1380</v>
      </c>
      <c r="AG16" s="76">
        <f t="shared" si="17"/>
        <v>87</v>
      </c>
      <c r="AH16" s="78">
        <v>0</v>
      </c>
      <c r="AI16" s="11">
        <v>0</v>
      </c>
      <c r="AJ16" s="76">
        <f t="shared" si="18"/>
        <v>1467</v>
      </c>
      <c r="AK16" s="92">
        <f t="shared" si="19"/>
        <v>10033</v>
      </c>
      <c r="AL16" s="128">
        <v>1</v>
      </c>
      <c r="AM16" s="128">
        <v>0.5</v>
      </c>
      <c r="AN16" s="66">
        <v>46210</v>
      </c>
      <c r="AO16" s="71"/>
    </row>
    <row r="17" spans="1:41" s="68" customFormat="1" x14ac:dyDescent="0.35">
      <c r="A17" s="28">
        <v>11</v>
      </c>
      <c r="B17" s="143" t="s">
        <v>190</v>
      </c>
      <c r="C17" s="165" t="s">
        <v>223</v>
      </c>
      <c r="D17" s="40" t="s">
        <v>213</v>
      </c>
      <c r="E17" s="27" t="s">
        <v>297</v>
      </c>
      <c r="F17" s="29">
        <v>37009</v>
      </c>
      <c r="G17" s="33" t="s">
        <v>296</v>
      </c>
      <c r="H17" s="28">
        <v>1798</v>
      </c>
      <c r="I17" s="17"/>
      <c r="J17" s="36">
        <v>46120</v>
      </c>
      <c r="K17" s="36"/>
      <c r="L17" s="75" t="s">
        <v>123</v>
      </c>
      <c r="M17" s="75" t="s">
        <v>27</v>
      </c>
      <c r="N17" s="75" t="s">
        <v>27</v>
      </c>
      <c r="O17" s="40" t="s">
        <v>224</v>
      </c>
      <c r="P17" s="40" t="s">
        <v>225</v>
      </c>
      <c r="Q17" s="40" t="s">
        <v>226</v>
      </c>
      <c r="R17" s="40" t="s">
        <v>226</v>
      </c>
      <c r="S17" s="145">
        <v>22</v>
      </c>
      <c r="T17" s="138">
        <f>22+1</f>
        <v>23</v>
      </c>
      <c r="U17" s="28">
        <v>15000</v>
      </c>
      <c r="V17" s="28">
        <v>0</v>
      </c>
      <c r="W17" s="28">
        <v>0</v>
      </c>
      <c r="X17" s="37">
        <v>0</v>
      </c>
      <c r="Y17" s="28">
        <f t="shared" si="9"/>
        <v>15000</v>
      </c>
      <c r="Z17" s="28">
        <f t="shared" si="10"/>
        <v>15000</v>
      </c>
      <c r="AA17" s="76">
        <f t="shared" si="11"/>
        <v>11500</v>
      </c>
      <c r="AB17" s="76">
        <f t="shared" si="12"/>
        <v>0</v>
      </c>
      <c r="AC17" s="76">
        <f t="shared" si="13"/>
        <v>0</v>
      </c>
      <c r="AD17" s="76">
        <f t="shared" si="14"/>
        <v>0</v>
      </c>
      <c r="AE17" s="76">
        <f t="shared" si="15"/>
        <v>11500</v>
      </c>
      <c r="AF17" s="17">
        <f t="shared" si="16"/>
        <v>1380</v>
      </c>
      <c r="AG17" s="76">
        <f t="shared" si="17"/>
        <v>87</v>
      </c>
      <c r="AH17" s="78">
        <v>0</v>
      </c>
      <c r="AI17" s="11">
        <v>0</v>
      </c>
      <c r="AJ17" s="76">
        <f t="shared" si="18"/>
        <v>1467</v>
      </c>
      <c r="AK17" s="92">
        <f t="shared" si="19"/>
        <v>10033</v>
      </c>
      <c r="AL17" s="128">
        <v>0.5</v>
      </c>
      <c r="AM17" s="128">
        <v>0</v>
      </c>
      <c r="AN17" s="66">
        <v>46210</v>
      </c>
      <c r="AO17" s="71"/>
    </row>
    <row r="18" spans="1:41" s="68" customFormat="1" x14ac:dyDescent="0.35">
      <c r="A18" s="28">
        <v>12</v>
      </c>
      <c r="B18" s="143" t="s">
        <v>27</v>
      </c>
      <c r="C18" s="165" t="s">
        <v>223</v>
      </c>
      <c r="D18" s="40" t="s">
        <v>214</v>
      </c>
      <c r="E18" s="27" t="s">
        <v>299</v>
      </c>
      <c r="F18" s="29">
        <v>37577</v>
      </c>
      <c r="G18" s="33" t="s">
        <v>298</v>
      </c>
      <c r="H18" s="28">
        <v>1804</v>
      </c>
      <c r="I18" s="17"/>
      <c r="J18" s="36">
        <v>46121</v>
      </c>
      <c r="K18" s="36"/>
      <c r="L18" s="75" t="s">
        <v>123</v>
      </c>
      <c r="M18" s="75" t="s">
        <v>27</v>
      </c>
      <c r="N18" s="75" t="s">
        <v>27</v>
      </c>
      <c r="O18" s="40" t="s">
        <v>224</v>
      </c>
      <c r="P18" s="40" t="s">
        <v>225</v>
      </c>
      <c r="Q18" s="40" t="s">
        <v>226</v>
      </c>
      <c r="R18" s="40" t="s">
        <v>226</v>
      </c>
      <c r="S18" s="145">
        <v>21</v>
      </c>
      <c r="T18" s="138">
        <f>21+1</f>
        <v>22</v>
      </c>
      <c r="U18" s="28">
        <v>15000</v>
      </c>
      <c r="V18" s="28">
        <v>0</v>
      </c>
      <c r="W18" s="28">
        <v>0</v>
      </c>
      <c r="X18" s="37">
        <v>0</v>
      </c>
      <c r="Y18" s="28">
        <f t="shared" si="9"/>
        <v>15000</v>
      </c>
      <c r="Z18" s="28">
        <f t="shared" si="10"/>
        <v>15000</v>
      </c>
      <c r="AA18" s="76">
        <f t="shared" si="11"/>
        <v>11000</v>
      </c>
      <c r="AB18" s="76">
        <f t="shared" si="12"/>
        <v>0</v>
      </c>
      <c r="AC18" s="76">
        <f t="shared" si="13"/>
        <v>0</v>
      </c>
      <c r="AD18" s="76">
        <f t="shared" si="14"/>
        <v>0</v>
      </c>
      <c r="AE18" s="76">
        <f t="shared" si="15"/>
        <v>11000</v>
      </c>
      <c r="AF18" s="17">
        <v>0</v>
      </c>
      <c r="AG18" s="76">
        <f t="shared" si="17"/>
        <v>83</v>
      </c>
      <c r="AH18" s="78">
        <v>0</v>
      </c>
      <c r="AI18" s="11">
        <v>0</v>
      </c>
      <c r="AJ18" s="76">
        <f t="shared" si="18"/>
        <v>83</v>
      </c>
      <c r="AK18" s="92">
        <f t="shared" si="19"/>
        <v>10917</v>
      </c>
      <c r="AL18" s="128">
        <v>0.5</v>
      </c>
      <c r="AM18" s="128">
        <v>0</v>
      </c>
      <c r="AN18" s="66">
        <v>46211</v>
      </c>
      <c r="AO18" s="71"/>
    </row>
    <row r="19" spans="1:41" s="68" customFormat="1" x14ac:dyDescent="0.35">
      <c r="A19" s="28">
        <v>13</v>
      </c>
      <c r="B19" s="143" t="s">
        <v>27</v>
      </c>
      <c r="C19" s="165" t="s">
        <v>223</v>
      </c>
      <c r="D19" s="40" t="s">
        <v>215</v>
      </c>
      <c r="E19" s="27" t="s">
        <v>301</v>
      </c>
      <c r="F19" s="29">
        <v>38412</v>
      </c>
      <c r="G19" s="33" t="s">
        <v>300</v>
      </c>
      <c r="H19" s="28">
        <v>1860</v>
      </c>
      <c r="I19" s="17"/>
      <c r="J19" s="36">
        <v>46125</v>
      </c>
      <c r="K19" s="36"/>
      <c r="L19" s="75" t="s">
        <v>123</v>
      </c>
      <c r="M19" s="75" t="s">
        <v>27</v>
      </c>
      <c r="N19" s="75" t="s">
        <v>27</v>
      </c>
      <c r="O19" s="40" t="s">
        <v>224</v>
      </c>
      <c r="P19" s="40" t="s">
        <v>225</v>
      </c>
      <c r="Q19" s="40" t="s">
        <v>226</v>
      </c>
      <c r="R19" s="40" t="s">
        <v>226</v>
      </c>
      <c r="S19" s="145">
        <v>18</v>
      </c>
      <c r="T19" s="138">
        <v>18</v>
      </c>
      <c r="U19" s="28">
        <v>10000</v>
      </c>
      <c r="V19" s="28">
        <v>0</v>
      </c>
      <c r="W19" s="28">
        <v>0</v>
      </c>
      <c r="X19" s="37">
        <v>0</v>
      </c>
      <c r="Y19" s="28">
        <f t="shared" si="9"/>
        <v>10000</v>
      </c>
      <c r="Z19" s="28">
        <f t="shared" si="10"/>
        <v>10000</v>
      </c>
      <c r="AA19" s="76">
        <f t="shared" si="11"/>
        <v>6000</v>
      </c>
      <c r="AB19" s="76">
        <f t="shared" si="12"/>
        <v>0</v>
      </c>
      <c r="AC19" s="76">
        <f t="shared" si="13"/>
        <v>0</v>
      </c>
      <c r="AD19" s="76">
        <f t="shared" si="14"/>
        <v>0</v>
      </c>
      <c r="AE19" s="76">
        <f t="shared" si="15"/>
        <v>6000</v>
      </c>
      <c r="AF19" s="17">
        <v>0</v>
      </c>
      <c r="AG19" s="76">
        <f t="shared" si="17"/>
        <v>45</v>
      </c>
      <c r="AH19" s="78">
        <v>0</v>
      </c>
      <c r="AI19" s="11">
        <v>0</v>
      </c>
      <c r="AJ19" s="76">
        <f t="shared" si="18"/>
        <v>45</v>
      </c>
      <c r="AK19" s="92">
        <f t="shared" si="19"/>
        <v>5955</v>
      </c>
      <c r="AL19" s="128">
        <v>1</v>
      </c>
      <c r="AM19" s="128">
        <v>0.5</v>
      </c>
      <c r="AN19" s="66">
        <v>46215</v>
      </c>
      <c r="AO19" s="71"/>
    </row>
    <row r="20" spans="1:41" s="68" customFormat="1" x14ac:dyDescent="0.35">
      <c r="A20" s="28">
        <v>14</v>
      </c>
      <c r="B20" s="143" t="s">
        <v>27</v>
      </c>
      <c r="C20" s="165" t="s">
        <v>223</v>
      </c>
      <c r="D20" s="40" t="s">
        <v>216</v>
      </c>
      <c r="E20" s="27" t="s">
        <v>303</v>
      </c>
      <c r="F20" s="29">
        <v>38155</v>
      </c>
      <c r="G20" s="33" t="s">
        <v>302</v>
      </c>
      <c r="H20" s="28">
        <v>1862</v>
      </c>
      <c r="I20" s="17"/>
      <c r="J20" s="36">
        <v>46125</v>
      </c>
      <c r="K20" s="36"/>
      <c r="L20" s="75" t="s">
        <v>123</v>
      </c>
      <c r="M20" s="75" t="s">
        <v>27</v>
      </c>
      <c r="N20" s="75" t="s">
        <v>27</v>
      </c>
      <c r="O20" s="40" t="s">
        <v>224</v>
      </c>
      <c r="P20" s="40" t="s">
        <v>225</v>
      </c>
      <c r="Q20" s="40" t="s">
        <v>226</v>
      </c>
      <c r="R20" s="40" t="s">
        <v>226</v>
      </c>
      <c r="S20" s="145">
        <v>17</v>
      </c>
      <c r="T20" s="138">
        <f>17+1</f>
        <v>18</v>
      </c>
      <c r="U20" s="28">
        <v>15000</v>
      </c>
      <c r="V20" s="28">
        <v>0</v>
      </c>
      <c r="W20" s="28">
        <v>0</v>
      </c>
      <c r="X20" s="37">
        <v>0</v>
      </c>
      <c r="Y20" s="28">
        <f t="shared" si="9"/>
        <v>15000</v>
      </c>
      <c r="Z20" s="28">
        <f t="shared" si="10"/>
        <v>15000</v>
      </c>
      <c r="AA20" s="76">
        <f t="shared" si="11"/>
        <v>9000</v>
      </c>
      <c r="AB20" s="76">
        <f t="shared" si="12"/>
        <v>0</v>
      </c>
      <c r="AC20" s="76">
        <f t="shared" si="13"/>
        <v>0</v>
      </c>
      <c r="AD20" s="76">
        <f t="shared" si="14"/>
        <v>0</v>
      </c>
      <c r="AE20" s="76">
        <f t="shared" si="15"/>
        <v>9000</v>
      </c>
      <c r="AF20" s="17">
        <v>0</v>
      </c>
      <c r="AG20" s="76">
        <f t="shared" si="17"/>
        <v>68</v>
      </c>
      <c r="AH20" s="78">
        <v>0</v>
      </c>
      <c r="AI20" s="11">
        <v>0</v>
      </c>
      <c r="AJ20" s="76">
        <f t="shared" si="18"/>
        <v>68</v>
      </c>
      <c r="AK20" s="92">
        <f t="shared" si="19"/>
        <v>8932</v>
      </c>
      <c r="AL20" s="128">
        <v>0.5</v>
      </c>
      <c r="AM20" s="128">
        <v>0</v>
      </c>
      <c r="AN20" s="66">
        <v>46215</v>
      </c>
      <c r="AO20" s="71"/>
    </row>
    <row r="21" spans="1:41" s="68" customFormat="1" x14ac:dyDescent="0.35">
      <c r="A21" s="28">
        <v>15</v>
      </c>
      <c r="B21" s="143" t="s">
        <v>27</v>
      </c>
      <c r="C21" s="165" t="s">
        <v>223</v>
      </c>
      <c r="D21" s="40" t="s">
        <v>217</v>
      </c>
      <c r="E21" s="27" t="s">
        <v>304</v>
      </c>
      <c r="F21" s="29">
        <v>38152</v>
      </c>
      <c r="G21" s="33" t="s">
        <v>305</v>
      </c>
      <c r="H21" s="28">
        <v>1861</v>
      </c>
      <c r="I21" s="17"/>
      <c r="J21" s="36">
        <v>46125</v>
      </c>
      <c r="K21" s="36"/>
      <c r="L21" s="75" t="s">
        <v>123</v>
      </c>
      <c r="M21" s="75" t="s">
        <v>27</v>
      </c>
      <c r="N21" s="75" t="s">
        <v>27</v>
      </c>
      <c r="O21" s="40" t="s">
        <v>224</v>
      </c>
      <c r="P21" s="40" t="s">
        <v>225</v>
      </c>
      <c r="Q21" s="40" t="s">
        <v>226</v>
      </c>
      <c r="R21" s="40" t="s">
        <v>226</v>
      </c>
      <c r="S21" s="145">
        <v>18</v>
      </c>
      <c r="T21" s="138">
        <v>18</v>
      </c>
      <c r="U21" s="28">
        <v>16030</v>
      </c>
      <c r="V21" s="28">
        <v>3970</v>
      </c>
      <c r="W21" s="28">
        <v>0</v>
      </c>
      <c r="X21" s="37">
        <v>0</v>
      </c>
      <c r="Y21" s="28">
        <f t="shared" si="9"/>
        <v>20000</v>
      </c>
      <c r="Z21" s="28">
        <f t="shared" si="10"/>
        <v>20000</v>
      </c>
      <c r="AA21" s="76">
        <f t="shared" si="11"/>
        <v>9618</v>
      </c>
      <c r="AB21" s="76">
        <f t="shared" si="12"/>
        <v>2382</v>
      </c>
      <c r="AC21" s="76">
        <f t="shared" si="13"/>
        <v>0</v>
      </c>
      <c r="AD21" s="76">
        <f t="shared" si="14"/>
        <v>0</v>
      </c>
      <c r="AE21" s="76">
        <f t="shared" si="15"/>
        <v>12000</v>
      </c>
      <c r="AF21" s="17">
        <v>0</v>
      </c>
      <c r="AG21" s="76">
        <f t="shared" si="17"/>
        <v>90</v>
      </c>
      <c r="AH21" s="78">
        <v>0</v>
      </c>
      <c r="AI21" s="11">
        <v>0</v>
      </c>
      <c r="AJ21" s="76">
        <f t="shared" si="18"/>
        <v>90</v>
      </c>
      <c r="AK21" s="92">
        <f t="shared" si="19"/>
        <v>11910</v>
      </c>
      <c r="AL21" s="128">
        <v>1</v>
      </c>
      <c r="AM21" s="128">
        <v>0.5</v>
      </c>
      <c r="AN21" s="66">
        <v>46215</v>
      </c>
      <c r="AO21" s="71"/>
    </row>
    <row r="22" spans="1:41" s="68" customFormat="1" x14ac:dyDescent="0.35">
      <c r="A22" s="28">
        <v>16</v>
      </c>
      <c r="B22" s="143" t="s">
        <v>27</v>
      </c>
      <c r="C22" s="165" t="s">
        <v>223</v>
      </c>
      <c r="D22" s="40" t="s">
        <v>218</v>
      </c>
      <c r="E22" s="27" t="s">
        <v>306</v>
      </c>
      <c r="F22" s="29">
        <v>38479</v>
      </c>
      <c r="G22" s="33" t="s">
        <v>307</v>
      </c>
      <c r="H22" s="28">
        <v>1886</v>
      </c>
      <c r="I22" s="17"/>
      <c r="J22" s="36">
        <v>46132</v>
      </c>
      <c r="K22" s="36"/>
      <c r="L22" s="75" t="s">
        <v>123</v>
      </c>
      <c r="M22" s="75" t="s">
        <v>27</v>
      </c>
      <c r="N22" s="75" t="s">
        <v>27</v>
      </c>
      <c r="O22" s="40" t="s">
        <v>224</v>
      </c>
      <c r="P22" s="40" t="s">
        <v>225</v>
      </c>
      <c r="Q22" s="40" t="s">
        <v>226</v>
      </c>
      <c r="R22" s="40" t="s">
        <v>226</v>
      </c>
      <c r="S22" s="145">
        <v>11</v>
      </c>
      <c r="T22" s="138">
        <v>11</v>
      </c>
      <c r="U22" s="28">
        <v>16030</v>
      </c>
      <c r="V22" s="28">
        <v>3970</v>
      </c>
      <c r="W22" s="28">
        <v>0</v>
      </c>
      <c r="X22" s="37">
        <v>0</v>
      </c>
      <c r="Y22" s="28">
        <f t="shared" si="9"/>
        <v>20000</v>
      </c>
      <c r="Z22" s="28">
        <f t="shared" si="10"/>
        <v>20000</v>
      </c>
      <c r="AA22" s="76">
        <f t="shared" si="11"/>
        <v>5878</v>
      </c>
      <c r="AB22" s="76">
        <f t="shared" si="12"/>
        <v>1456</v>
      </c>
      <c r="AC22" s="76">
        <f t="shared" si="13"/>
        <v>0</v>
      </c>
      <c r="AD22" s="76">
        <f t="shared" si="14"/>
        <v>0</v>
      </c>
      <c r="AE22" s="76">
        <f t="shared" si="15"/>
        <v>7334</v>
      </c>
      <c r="AF22" s="17">
        <v>0</v>
      </c>
      <c r="AG22" s="76">
        <f t="shared" si="17"/>
        <v>56</v>
      </c>
      <c r="AH22" s="78">
        <v>0</v>
      </c>
      <c r="AI22" s="11">
        <v>0</v>
      </c>
      <c r="AJ22" s="76">
        <f t="shared" si="18"/>
        <v>56</v>
      </c>
      <c r="AK22" s="92">
        <f t="shared" si="19"/>
        <v>7278</v>
      </c>
      <c r="AL22" s="128">
        <v>0</v>
      </c>
      <c r="AM22" s="128">
        <v>0</v>
      </c>
      <c r="AN22" s="66">
        <v>46222</v>
      </c>
      <c r="AO22" s="71"/>
    </row>
    <row r="23" spans="1:41" s="68" customFormat="1" x14ac:dyDescent="0.35">
      <c r="A23" s="28">
        <v>17</v>
      </c>
      <c r="B23" s="143" t="s">
        <v>27</v>
      </c>
      <c r="C23" s="165" t="s">
        <v>223</v>
      </c>
      <c r="D23" s="40" t="s">
        <v>219</v>
      </c>
      <c r="E23" s="27" t="s">
        <v>309</v>
      </c>
      <c r="F23" s="29">
        <v>38494</v>
      </c>
      <c r="G23" s="33" t="s">
        <v>308</v>
      </c>
      <c r="H23" s="28">
        <v>1887</v>
      </c>
      <c r="I23" s="17"/>
      <c r="J23" s="36">
        <v>46132</v>
      </c>
      <c r="K23" s="36"/>
      <c r="L23" s="75" t="s">
        <v>123</v>
      </c>
      <c r="M23" s="75" t="s">
        <v>27</v>
      </c>
      <c r="N23" s="75" t="s">
        <v>27</v>
      </c>
      <c r="O23" s="40" t="s">
        <v>224</v>
      </c>
      <c r="P23" s="40" t="s">
        <v>225</v>
      </c>
      <c r="Q23" s="40" t="s">
        <v>226</v>
      </c>
      <c r="R23" s="40" t="s">
        <v>226</v>
      </c>
      <c r="S23" s="145">
        <v>11</v>
      </c>
      <c r="T23" s="138">
        <v>11</v>
      </c>
      <c r="U23" s="28">
        <v>15000</v>
      </c>
      <c r="V23" s="28">
        <v>0</v>
      </c>
      <c r="W23" s="28">
        <v>0</v>
      </c>
      <c r="X23" s="37">
        <v>0</v>
      </c>
      <c r="Y23" s="28">
        <f t="shared" si="9"/>
        <v>15000</v>
      </c>
      <c r="Z23" s="28">
        <f t="shared" si="10"/>
        <v>15000</v>
      </c>
      <c r="AA23" s="76">
        <f t="shared" si="11"/>
        <v>5500</v>
      </c>
      <c r="AB23" s="76">
        <f t="shared" si="12"/>
        <v>0</v>
      </c>
      <c r="AC23" s="76">
        <f t="shared" si="13"/>
        <v>0</v>
      </c>
      <c r="AD23" s="76">
        <f t="shared" si="14"/>
        <v>0</v>
      </c>
      <c r="AE23" s="76">
        <f t="shared" si="15"/>
        <v>5500</v>
      </c>
      <c r="AF23" s="17">
        <v>0</v>
      </c>
      <c r="AG23" s="76">
        <f t="shared" si="17"/>
        <v>42</v>
      </c>
      <c r="AH23" s="78">
        <v>0</v>
      </c>
      <c r="AI23" s="11">
        <v>0</v>
      </c>
      <c r="AJ23" s="76">
        <f t="shared" si="18"/>
        <v>42</v>
      </c>
      <c r="AK23" s="92">
        <f t="shared" si="19"/>
        <v>5458</v>
      </c>
      <c r="AL23" s="128">
        <v>0</v>
      </c>
      <c r="AM23" s="128">
        <v>0</v>
      </c>
      <c r="AN23" s="66">
        <v>46222</v>
      </c>
      <c r="AO23" s="71"/>
    </row>
    <row r="24" spans="1:41" s="68" customFormat="1" x14ac:dyDescent="0.3">
      <c r="A24" s="28"/>
      <c r="B24" s="76"/>
      <c r="C24" s="88"/>
      <c r="D24" s="40"/>
      <c r="E24" s="27"/>
      <c r="F24" s="29"/>
      <c r="G24" s="33"/>
      <c r="H24" s="28"/>
      <c r="I24" s="17"/>
      <c r="J24" s="36"/>
      <c r="K24" s="36"/>
      <c r="L24" s="36"/>
      <c r="M24" s="36"/>
      <c r="N24" s="36"/>
      <c r="O24" s="40"/>
      <c r="P24" s="40"/>
      <c r="Q24" s="40"/>
      <c r="R24" s="40"/>
      <c r="S24" s="40"/>
      <c r="T24" s="119"/>
      <c r="U24" s="28"/>
      <c r="V24" s="28"/>
      <c r="W24" s="28"/>
      <c r="X24" s="37"/>
      <c r="Y24" s="85"/>
      <c r="Z24" s="85"/>
      <c r="AA24" s="42"/>
      <c r="AB24" s="42"/>
      <c r="AC24" s="42"/>
      <c r="AD24" s="42"/>
      <c r="AE24" s="42"/>
      <c r="AF24" s="34"/>
      <c r="AG24" s="87"/>
      <c r="AH24" s="80"/>
      <c r="AI24" s="34"/>
      <c r="AJ24" s="87"/>
      <c r="AK24" s="45"/>
      <c r="AL24" s="121"/>
      <c r="AM24" s="121"/>
      <c r="AN24" s="66"/>
      <c r="AO24" s="71"/>
    </row>
    <row r="25" spans="1:41" s="68" customFormat="1" x14ac:dyDescent="0.3">
      <c r="A25" s="28"/>
      <c r="B25" s="76"/>
      <c r="C25" s="88"/>
      <c r="D25" s="40"/>
      <c r="E25" s="27"/>
      <c r="F25" s="29"/>
      <c r="G25" s="33"/>
      <c r="H25" s="28"/>
      <c r="I25" s="17"/>
      <c r="J25" s="36"/>
      <c r="K25" s="36"/>
      <c r="L25" s="36"/>
      <c r="M25" s="36"/>
      <c r="N25" s="36"/>
      <c r="O25" s="40"/>
      <c r="P25" s="40"/>
      <c r="Q25" s="40"/>
      <c r="R25" s="40"/>
      <c r="S25" s="40"/>
      <c r="T25" s="119"/>
      <c r="U25" s="28"/>
      <c r="V25" s="28"/>
      <c r="W25" s="28"/>
      <c r="X25" s="37"/>
      <c r="Y25" s="85"/>
      <c r="Z25" s="85"/>
      <c r="AA25" s="42"/>
      <c r="AB25" s="42"/>
      <c r="AC25" s="42"/>
      <c r="AD25" s="42"/>
      <c r="AE25" s="42"/>
      <c r="AF25" s="34"/>
      <c r="AG25" s="87"/>
      <c r="AH25" s="80"/>
      <c r="AI25" s="34"/>
      <c r="AJ25" s="87"/>
      <c r="AK25" s="45"/>
      <c r="AL25" s="121"/>
      <c r="AM25" s="121"/>
      <c r="AN25" s="66"/>
      <c r="AO25" s="71"/>
    </row>
    <row r="26" spans="1:41" s="31" customFormat="1" ht="18.600000000000001" thickBot="1" x14ac:dyDescent="0.35">
      <c r="A26" s="18"/>
      <c r="B26" s="76"/>
      <c r="C26" s="88"/>
      <c r="D26" s="40"/>
      <c r="E26" s="27"/>
      <c r="F26" s="29"/>
      <c r="G26" s="33"/>
      <c r="H26" s="28"/>
      <c r="I26" s="17"/>
      <c r="J26" s="36"/>
      <c r="K26" s="36"/>
      <c r="L26" s="36"/>
      <c r="M26" s="36"/>
      <c r="N26" s="36"/>
      <c r="O26" s="40"/>
      <c r="P26" s="40"/>
      <c r="Q26" s="40"/>
      <c r="R26" s="40"/>
      <c r="S26" s="40"/>
      <c r="T26" s="95"/>
      <c r="U26" s="28"/>
      <c r="V26" s="28"/>
      <c r="W26" s="28"/>
      <c r="X26" s="37"/>
      <c r="Y26" s="41"/>
      <c r="Z26" s="41"/>
      <c r="AA26" s="42"/>
      <c r="AB26" s="42"/>
      <c r="AC26" s="42"/>
      <c r="AD26" s="42"/>
      <c r="AE26" s="43"/>
      <c r="AF26" s="34"/>
      <c r="AG26" s="42"/>
      <c r="AH26" s="44"/>
      <c r="AI26" s="41"/>
      <c r="AJ26" s="43"/>
      <c r="AK26" s="45"/>
      <c r="AL26" s="17"/>
      <c r="AM26" s="17"/>
      <c r="AN26" s="94"/>
      <c r="AO26" s="52"/>
    </row>
    <row r="27" spans="1:41" ht="18.600000000000001" thickBot="1" x14ac:dyDescent="0.4">
      <c r="A27" s="2"/>
      <c r="B27" s="2"/>
      <c r="C27" s="2"/>
      <c r="E27" s="21"/>
      <c r="F27" s="35"/>
      <c r="G27" s="2"/>
      <c r="H27" s="21"/>
      <c r="I27" s="21"/>
      <c r="J27" s="21"/>
      <c r="K27" s="61"/>
      <c r="L27" s="21"/>
      <c r="M27" s="21"/>
      <c r="N27" s="21"/>
      <c r="O27" s="21"/>
      <c r="P27" s="21"/>
      <c r="Q27" s="21"/>
      <c r="R27" s="21"/>
      <c r="S27" s="21"/>
      <c r="T27" s="2"/>
      <c r="U27" s="21"/>
      <c r="V27" s="21"/>
      <c r="W27" s="21"/>
      <c r="X27" s="21"/>
      <c r="Y27" s="46" t="s">
        <v>62</v>
      </c>
      <c r="Z27" s="47">
        <f t="shared" ref="Z27:AK27" si="20">SUM(Z7:Z26)</f>
        <v>339000</v>
      </c>
      <c r="AA27" s="47">
        <f t="shared" si="20"/>
        <v>197520</v>
      </c>
      <c r="AB27" s="47">
        <f t="shared" si="20"/>
        <v>49151</v>
      </c>
      <c r="AC27" s="47">
        <f t="shared" si="20"/>
        <v>9500</v>
      </c>
      <c r="AD27" s="47">
        <f t="shared" si="20"/>
        <v>0</v>
      </c>
      <c r="AE27" s="47">
        <f t="shared" si="20"/>
        <v>256171</v>
      </c>
      <c r="AF27" s="47">
        <f t="shared" si="20"/>
        <v>8250</v>
      </c>
      <c r="AG27" s="47">
        <f t="shared" si="20"/>
        <v>1218</v>
      </c>
      <c r="AH27" s="47">
        <f t="shared" si="20"/>
        <v>0</v>
      </c>
      <c r="AI27" s="47">
        <f t="shared" si="20"/>
        <v>0</v>
      </c>
      <c r="AJ27" s="47">
        <f t="shared" si="20"/>
        <v>9468</v>
      </c>
      <c r="AK27" s="48">
        <f t="shared" si="20"/>
        <v>246703</v>
      </c>
      <c r="AL27" s="2"/>
      <c r="AM27" s="2"/>
      <c r="AN27" s="2"/>
      <c r="AO27" s="49"/>
    </row>
  </sheetData>
  <mergeCells count="14">
    <mergeCell ref="AN4:AN5"/>
    <mergeCell ref="AO4:AO5"/>
    <mergeCell ref="J4:J5"/>
    <mergeCell ref="O4:O5"/>
    <mergeCell ref="P4:P5"/>
    <mergeCell ref="AF4:AI4"/>
    <mergeCell ref="AL4:AL5"/>
    <mergeCell ref="AM4:AM5"/>
    <mergeCell ref="F4:F5"/>
    <mergeCell ref="A4:A5"/>
    <mergeCell ref="B4:B5"/>
    <mergeCell ref="C4:C5"/>
    <mergeCell ref="D4:D5"/>
    <mergeCell ref="E4:E5"/>
  </mergeCells>
  <conditionalFormatting sqref="D1:D1048576">
    <cfRule type="duplicateValues" dxfId="2" priority="2"/>
  </conditionalFormatting>
  <pageMargins left="0.7" right="0.7" top="0.75" bottom="0.75" header="0.3" footer="0.3"/>
  <pageSetup paperSize="9" scale="38" orientation="landscape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32"/>
  <sheetViews>
    <sheetView zoomScale="80" zoomScaleNormal="80" zoomScaleSheetLayoutView="70" workbookViewId="0">
      <pane xSplit="4" ySplit="6" topLeftCell="AN7" activePane="bottomRight" state="frozen"/>
      <selection activeCell="A2" sqref="A2:G2"/>
      <selection pane="topRight" activeCell="A2" sqref="A2:G2"/>
      <selection pane="bottomLeft" activeCell="A2" sqref="A2:G2"/>
      <selection pane="bottomRight" activeCell="AO6" sqref="AO6"/>
    </sheetView>
  </sheetViews>
  <sheetFormatPr defaultColWidth="9.33203125" defaultRowHeight="18" x14ac:dyDescent="0.35"/>
  <cols>
    <col min="1" max="1" width="5.44140625" style="1" customWidth="1"/>
    <col min="2" max="2" width="18.6640625" style="1" customWidth="1"/>
    <col min="3" max="3" width="15.6640625" style="1" customWidth="1"/>
    <col min="4" max="4" width="37.5546875" style="2" bestFit="1" customWidth="1"/>
    <col min="5" max="5" width="18.33203125" style="3" customWidth="1"/>
    <col min="6" max="6" width="16.5546875" style="10" customWidth="1"/>
    <col min="7" max="7" width="38" style="1" customWidth="1"/>
    <col min="8" max="8" width="18" style="3" customWidth="1"/>
    <col min="9" max="9" width="12.33203125" style="3" customWidth="1"/>
    <col min="10" max="10" width="14.5546875" style="3" bestFit="1" customWidth="1"/>
    <col min="11" max="11" width="16" style="3" customWidth="1"/>
    <col min="12" max="12" width="19.88671875" style="3" hidden="1" customWidth="1"/>
    <col min="13" max="14" width="22.33203125" style="3" hidden="1" customWidth="1"/>
    <col min="15" max="15" width="25.33203125" style="3" hidden="1" customWidth="1"/>
    <col min="16" max="16" width="43.44140625" style="3" hidden="1" customWidth="1"/>
    <col min="17" max="17" width="15" style="3" hidden="1" customWidth="1"/>
    <col min="18" max="18" width="17" style="3" hidden="1" customWidth="1"/>
    <col min="19" max="19" width="21.88671875" style="3" hidden="1" customWidth="1"/>
    <col min="20" max="20" width="13.44140625" style="1" customWidth="1"/>
    <col min="21" max="21" width="13" style="3" customWidth="1"/>
    <col min="22" max="22" width="8.44140625" style="3" customWidth="1"/>
    <col min="23" max="23" width="9.44140625" style="3" customWidth="1"/>
    <col min="24" max="24" width="13.109375" style="3" customWidth="1"/>
    <col min="25" max="25" width="10" style="1" customWidth="1"/>
    <col min="26" max="26" width="11.33203125" style="1" customWidth="1"/>
    <col min="27" max="27" width="13" style="1" customWidth="1"/>
    <col min="28" max="29" width="9.88671875" style="1" customWidth="1"/>
    <col min="30" max="30" width="13.109375" style="1" customWidth="1"/>
    <col min="31" max="31" width="11.33203125" style="1" customWidth="1"/>
    <col min="32" max="33" width="10.88671875" style="1" customWidth="1"/>
    <col min="34" max="34" width="8.44140625" style="1" customWidth="1"/>
    <col min="35" max="35" width="7.6640625" style="1" customWidth="1"/>
    <col min="36" max="36" width="10.88671875" style="1" customWidth="1"/>
    <col min="37" max="37" width="11.44140625" style="3" customWidth="1"/>
    <col min="38" max="38" width="13.109375" style="2" customWidth="1"/>
    <col min="39" max="39" width="12.44140625" style="2" customWidth="1"/>
    <col min="40" max="40" width="32" style="1" customWidth="1"/>
    <col min="41" max="41" width="59.44140625" style="53" customWidth="1"/>
    <col min="42" max="16384" width="9.33203125" style="1"/>
  </cols>
  <sheetData>
    <row r="1" spans="1:41" s="2" customFormat="1" ht="40.5" customHeight="1" x14ac:dyDescent="0.35">
      <c r="A1" s="19" t="s">
        <v>186</v>
      </c>
      <c r="B1" s="20"/>
      <c r="C1" s="20"/>
      <c r="D1" s="20"/>
      <c r="E1" s="20"/>
      <c r="F1" s="20"/>
      <c r="G1" s="20"/>
      <c r="H1" s="54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49"/>
    </row>
    <row r="2" spans="1:41" s="2" customFormat="1" ht="18.75" customHeight="1" x14ac:dyDescent="0.35">
      <c r="A2" s="22" t="s">
        <v>184</v>
      </c>
      <c r="B2" s="20"/>
      <c r="C2" s="20"/>
      <c r="D2" s="20"/>
      <c r="E2" s="20"/>
      <c r="F2" s="20"/>
      <c r="G2" s="93"/>
      <c r="H2" s="55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50"/>
    </row>
    <row r="3" spans="1:41" ht="21" customHeight="1" x14ac:dyDescent="0.35">
      <c r="A3" s="23">
        <v>30</v>
      </c>
      <c r="B3" s="22"/>
      <c r="C3" s="22"/>
      <c r="D3" s="22"/>
      <c r="E3" s="22"/>
      <c r="F3" s="22"/>
      <c r="G3" s="22"/>
      <c r="H3" s="56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"/>
      <c r="AB3" s="2"/>
      <c r="AC3" s="2"/>
      <c r="AD3" s="2"/>
      <c r="AE3" s="2"/>
      <c r="AF3" s="2"/>
      <c r="AG3" s="2"/>
      <c r="AH3" s="2"/>
      <c r="AI3" s="2"/>
      <c r="AJ3" s="2"/>
      <c r="AK3" s="21"/>
      <c r="AN3" s="2"/>
      <c r="AO3" s="49"/>
    </row>
    <row r="4" spans="1:41" ht="18.75" customHeight="1" x14ac:dyDescent="0.35">
      <c r="A4" s="173" t="s">
        <v>45</v>
      </c>
      <c r="B4" s="174" t="s">
        <v>0</v>
      </c>
      <c r="C4" s="174" t="s">
        <v>1</v>
      </c>
      <c r="D4" s="175" t="s">
        <v>2</v>
      </c>
      <c r="E4" s="174" t="s">
        <v>3</v>
      </c>
      <c r="F4" s="176" t="s">
        <v>4</v>
      </c>
      <c r="G4" s="4" t="s">
        <v>5</v>
      </c>
      <c r="H4" s="4" t="s">
        <v>6</v>
      </c>
      <c r="I4" s="4" t="s">
        <v>6</v>
      </c>
      <c r="J4" s="174" t="s">
        <v>84</v>
      </c>
      <c r="K4" s="32" t="s">
        <v>100</v>
      </c>
      <c r="L4" s="58"/>
      <c r="M4" s="58"/>
      <c r="N4" s="58"/>
      <c r="O4" s="173" t="s">
        <v>101</v>
      </c>
      <c r="P4" s="173" t="s">
        <v>103</v>
      </c>
      <c r="Q4" s="32"/>
      <c r="R4" s="32"/>
      <c r="S4" s="126">
        <v>46113</v>
      </c>
      <c r="T4" s="4" t="s">
        <v>7</v>
      </c>
      <c r="U4" s="4" t="s">
        <v>55</v>
      </c>
      <c r="V4" s="4" t="s">
        <v>8</v>
      </c>
      <c r="W4" s="8" t="s">
        <v>9</v>
      </c>
      <c r="X4" s="8" t="s">
        <v>56</v>
      </c>
      <c r="Y4" s="5"/>
      <c r="Z4" s="4" t="s">
        <v>7</v>
      </c>
      <c r="AA4" s="4" t="s">
        <v>55</v>
      </c>
      <c r="AB4" s="4" t="s">
        <v>8</v>
      </c>
      <c r="AC4" s="8" t="s">
        <v>9</v>
      </c>
      <c r="AD4" s="8" t="s">
        <v>56</v>
      </c>
      <c r="AE4" s="9" t="s">
        <v>7</v>
      </c>
      <c r="AF4" s="177" t="s">
        <v>10</v>
      </c>
      <c r="AG4" s="177"/>
      <c r="AH4" s="177"/>
      <c r="AI4" s="177"/>
      <c r="AJ4" s="4" t="s">
        <v>11</v>
      </c>
      <c r="AK4" s="4" t="s">
        <v>12</v>
      </c>
      <c r="AL4" s="173" t="s">
        <v>13</v>
      </c>
      <c r="AM4" s="173" t="s">
        <v>14</v>
      </c>
      <c r="AN4" s="178" t="s">
        <v>74</v>
      </c>
      <c r="AO4" s="174" t="s">
        <v>63</v>
      </c>
    </row>
    <row r="5" spans="1:41" s="7" customFormat="1" ht="51" customHeight="1" x14ac:dyDescent="0.3">
      <c r="A5" s="173"/>
      <c r="B5" s="174"/>
      <c r="C5" s="174"/>
      <c r="D5" s="175"/>
      <c r="E5" s="174"/>
      <c r="F5" s="176"/>
      <c r="G5" s="57"/>
      <c r="H5" s="59" t="s">
        <v>145</v>
      </c>
      <c r="I5" s="57" t="s">
        <v>15</v>
      </c>
      <c r="J5" s="174"/>
      <c r="K5" s="32" t="s">
        <v>102</v>
      </c>
      <c r="L5" s="58" t="s">
        <v>119</v>
      </c>
      <c r="M5" s="58" t="s">
        <v>120</v>
      </c>
      <c r="N5" s="58" t="s">
        <v>121</v>
      </c>
      <c r="O5" s="173"/>
      <c r="P5" s="173"/>
      <c r="Q5" s="32" t="s">
        <v>199</v>
      </c>
      <c r="R5" s="32" t="s">
        <v>200</v>
      </c>
      <c r="S5" s="32" t="s">
        <v>197</v>
      </c>
      <c r="T5" s="32" t="s">
        <v>196</v>
      </c>
      <c r="U5" s="57" t="s">
        <v>16</v>
      </c>
      <c r="V5" s="57" t="s">
        <v>16</v>
      </c>
      <c r="W5" s="57" t="s">
        <v>16</v>
      </c>
      <c r="X5" s="57" t="s">
        <v>17</v>
      </c>
      <c r="Y5" s="57"/>
      <c r="Z5" s="32" t="s">
        <v>157</v>
      </c>
      <c r="AA5" s="57" t="s">
        <v>16</v>
      </c>
      <c r="AB5" s="57" t="s">
        <v>16</v>
      </c>
      <c r="AC5" s="57" t="s">
        <v>16</v>
      </c>
      <c r="AD5" s="57" t="s">
        <v>17</v>
      </c>
      <c r="AE5" s="60" t="s">
        <v>16</v>
      </c>
      <c r="AF5" s="57" t="s">
        <v>18</v>
      </c>
      <c r="AG5" s="57" t="s">
        <v>19</v>
      </c>
      <c r="AH5" s="57" t="s">
        <v>20</v>
      </c>
      <c r="AI5" s="57" t="s">
        <v>21</v>
      </c>
      <c r="AJ5" s="57" t="s">
        <v>22</v>
      </c>
      <c r="AK5" s="57" t="s">
        <v>23</v>
      </c>
      <c r="AL5" s="173"/>
      <c r="AM5" s="173"/>
      <c r="AN5" s="178"/>
      <c r="AO5" s="174"/>
    </row>
    <row r="6" spans="1:41" x14ac:dyDescent="0.35">
      <c r="A6" s="12"/>
      <c r="B6" s="12"/>
      <c r="C6" s="12"/>
      <c r="D6" s="13" t="s">
        <v>73</v>
      </c>
      <c r="E6" s="12"/>
      <c r="F6" s="14"/>
      <c r="G6" s="15"/>
      <c r="H6" s="12"/>
      <c r="I6" s="12"/>
      <c r="J6" s="12"/>
      <c r="K6" s="12"/>
      <c r="L6" s="12"/>
      <c r="M6" s="12"/>
      <c r="N6" s="12"/>
      <c r="O6" s="12"/>
      <c r="P6" s="12"/>
      <c r="Q6" s="32"/>
      <c r="R6" s="32"/>
      <c r="S6" s="32"/>
      <c r="T6" s="15" t="s">
        <v>73</v>
      </c>
      <c r="U6" s="12"/>
      <c r="V6" s="12"/>
      <c r="W6" s="12"/>
      <c r="X6" s="12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2"/>
      <c r="AL6" s="15"/>
      <c r="AM6" s="15"/>
      <c r="AN6" s="15"/>
      <c r="AO6" s="51"/>
    </row>
    <row r="7" spans="1:41" s="68" customFormat="1" x14ac:dyDescent="0.35">
      <c r="A7" s="28">
        <v>1</v>
      </c>
      <c r="B7" s="143" t="s">
        <v>27</v>
      </c>
      <c r="C7" s="165" t="s">
        <v>27</v>
      </c>
      <c r="D7" s="40" t="s">
        <v>242</v>
      </c>
      <c r="E7" s="17" t="s">
        <v>243</v>
      </c>
      <c r="F7" s="36">
        <v>36000</v>
      </c>
      <c r="G7" s="40" t="s">
        <v>244</v>
      </c>
      <c r="H7" s="17">
        <v>713</v>
      </c>
      <c r="I7" s="17" t="s">
        <v>245</v>
      </c>
      <c r="J7" s="149">
        <v>44075</v>
      </c>
      <c r="K7" s="36" t="s">
        <v>27</v>
      </c>
      <c r="L7" s="26" t="s">
        <v>122</v>
      </c>
      <c r="M7" s="26" t="s">
        <v>246</v>
      </c>
      <c r="N7" s="26" t="s">
        <v>247</v>
      </c>
      <c r="O7" s="40" t="s">
        <v>117</v>
      </c>
      <c r="P7" s="40" t="s">
        <v>118</v>
      </c>
      <c r="Q7" s="150">
        <f>1+1+0.5+1+1</f>
        <v>4.5</v>
      </c>
      <c r="R7" s="151">
        <f>0.5+0.5</f>
        <v>1</v>
      </c>
      <c r="S7" s="145">
        <v>25</v>
      </c>
      <c r="T7" s="140">
        <f>25+1.5+3.5</f>
        <v>30</v>
      </c>
      <c r="U7" s="28">
        <v>60000</v>
      </c>
      <c r="V7" s="28">
        <v>48000</v>
      </c>
      <c r="W7" s="28">
        <v>12000</v>
      </c>
      <c r="X7" s="37">
        <v>0</v>
      </c>
      <c r="Y7" s="28">
        <f t="shared" ref="Y7:Y30" si="0">U7+V7+W7+X7</f>
        <v>120000</v>
      </c>
      <c r="Z7" s="28">
        <f t="shared" ref="Z7:Z30" si="1">Y7</f>
        <v>120000</v>
      </c>
      <c r="AA7" s="76">
        <f t="shared" ref="AA7:AA26" si="2">ROUND(U7/$A$3*T7,0)</f>
        <v>60000</v>
      </c>
      <c r="AB7" s="76">
        <f t="shared" ref="AB7:AB26" si="3">ROUND(V7/$A$3*T7,0)</f>
        <v>48000</v>
      </c>
      <c r="AC7" s="76">
        <f t="shared" ref="AC7:AC26" si="4">ROUND(W7/$A$3*T7,0)</f>
        <v>12000</v>
      </c>
      <c r="AD7" s="76">
        <f t="shared" ref="AD7:AD26" si="5">ROUND(X7/$A$3*T7,0)</f>
        <v>0</v>
      </c>
      <c r="AE7" s="76">
        <f t="shared" ref="AE7:AE30" si="6">AA7+AB7+AC7+AD7</f>
        <v>120000</v>
      </c>
      <c r="AF7" s="17">
        <v>0</v>
      </c>
      <c r="AG7" s="76">
        <v>0</v>
      </c>
      <c r="AH7" s="78">
        <v>0</v>
      </c>
      <c r="AI7" s="11">
        <v>0</v>
      </c>
      <c r="AJ7" s="76">
        <f t="shared" ref="AJ7:AJ26" si="7">AF7+AG7+AH7+AI7</f>
        <v>0</v>
      </c>
      <c r="AK7" s="92">
        <f t="shared" ref="AK7:AK26" si="8">AE7-AJ7</f>
        <v>120000</v>
      </c>
      <c r="AL7" s="152">
        <f>1+1+0.5+1+1+1-3.5</f>
        <v>2</v>
      </c>
      <c r="AM7" s="153">
        <f>0.5+0.5+0.5-1.5</f>
        <v>0</v>
      </c>
      <c r="AN7" s="66"/>
      <c r="AO7" s="71"/>
    </row>
    <row r="8" spans="1:41" s="68" customFormat="1" x14ac:dyDescent="0.35">
      <c r="A8" s="28">
        <v>2</v>
      </c>
      <c r="B8" s="143" t="s">
        <v>190</v>
      </c>
      <c r="C8" s="165" t="s">
        <v>190</v>
      </c>
      <c r="D8" s="40" t="s">
        <v>250</v>
      </c>
      <c r="E8" s="17" t="s">
        <v>228</v>
      </c>
      <c r="F8" s="36">
        <v>37838</v>
      </c>
      <c r="G8" s="40" t="s">
        <v>312</v>
      </c>
      <c r="H8" s="17">
        <v>1780</v>
      </c>
      <c r="I8" s="17"/>
      <c r="J8" s="149">
        <v>46118</v>
      </c>
      <c r="K8" s="36"/>
      <c r="L8" s="26" t="s">
        <v>123</v>
      </c>
      <c r="M8" s="26" t="s">
        <v>27</v>
      </c>
      <c r="N8" s="26" t="s">
        <v>27</v>
      </c>
      <c r="O8" s="40"/>
      <c r="P8" s="40"/>
      <c r="Q8" s="40" t="s">
        <v>226</v>
      </c>
      <c r="R8" s="40" t="s">
        <v>226</v>
      </c>
      <c r="S8" s="145">
        <v>20</v>
      </c>
      <c r="T8" s="140">
        <f>20+1.5</f>
        <v>21.5</v>
      </c>
      <c r="U8" s="28">
        <v>16870</v>
      </c>
      <c r="V8" s="28">
        <v>1130</v>
      </c>
      <c r="W8" s="28">
        <v>0</v>
      </c>
      <c r="X8" s="37">
        <v>0</v>
      </c>
      <c r="Y8" s="28">
        <f t="shared" si="0"/>
        <v>18000</v>
      </c>
      <c r="Z8" s="28">
        <f t="shared" si="1"/>
        <v>18000</v>
      </c>
      <c r="AA8" s="76">
        <f t="shared" si="2"/>
        <v>12090</v>
      </c>
      <c r="AB8" s="76">
        <f t="shared" si="3"/>
        <v>810</v>
      </c>
      <c r="AC8" s="76">
        <f t="shared" si="4"/>
        <v>0</v>
      </c>
      <c r="AD8" s="76">
        <f t="shared" si="5"/>
        <v>0</v>
      </c>
      <c r="AE8" s="76">
        <f t="shared" si="6"/>
        <v>12900</v>
      </c>
      <c r="AF8" s="17">
        <f t="shared" ref="AF8:AF15" si="9">ROUND(IF(U8&gt;15000,(15000/$A$3*T8)*12%,AA8*12%)*1,0)</f>
        <v>1290</v>
      </c>
      <c r="AG8" s="76">
        <f t="shared" ref="AG8:AG26" si="10">ROUNDUP(AE8*0.75%,0)</f>
        <v>97</v>
      </c>
      <c r="AH8" s="78">
        <v>0</v>
      </c>
      <c r="AI8" s="11">
        <v>0</v>
      </c>
      <c r="AJ8" s="76">
        <f t="shared" si="7"/>
        <v>1387</v>
      </c>
      <c r="AK8" s="92">
        <f t="shared" si="8"/>
        <v>11513</v>
      </c>
      <c r="AL8" s="128">
        <v>0</v>
      </c>
      <c r="AM8" s="128">
        <v>0</v>
      </c>
      <c r="AN8" s="66">
        <f>J8+90</f>
        <v>46208</v>
      </c>
      <c r="AO8" s="71"/>
    </row>
    <row r="9" spans="1:41" s="68" customFormat="1" x14ac:dyDescent="0.35">
      <c r="A9" s="28">
        <v>3</v>
      </c>
      <c r="B9" s="143" t="s">
        <v>190</v>
      </c>
      <c r="C9" s="165" t="s">
        <v>190</v>
      </c>
      <c r="D9" s="40" t="s">
        <v>251</v>
      </c>
      <c r="E9" s="17" t="s">
        <v>229</v>
      </c>
      <c r="F9" s="36">
        <v>38209</v>
      </c>
      <c r="G9" s="40" t="s">
        <v>313</v>
      </c>
      <c r="H9" s="17">
        <v>1781</v>
      </c>
      <c r="I9" s="17"/>
      <c r="J9" s="149">
        <v>46118</v>
      </c>
      <c r="K9" s="36"/>
      <c r="L9" s="26" t="s">
        <v>123</v>
      </c>
      <c r="M9" s="26" t="s">
        <v>27</v>
      </c>
      <c r="N9" s="26" t="s">
        <v>27</v>
      </c>
      <c r="O9" s="40"/>
      <c r="P9" s="40"/>
      <c r="Q9" s="40" t="s">
        <v>226</v>
      </c>
      <c r="R9" s="40" t="s">
        <v>226</v>
      </c>
      <c r="S9" s="145">
        <v>24</v>
      </c>
      <c r="T9" s="140">
        <f>24+1</f>
        <v>25</v>
      </c>
      <c r="U9" s="28">
        <v>16870</v>
      </c>
      <c r="V9" s="28">
        <v>3130</v>
      </c>
      <c r="W9" s="28">
        <v>0</v>
      </c>
      <c r="X9" s="37">
        <v>0</v>
      </c>
      <c r="Y9" s="28">
        <f t="shared" si="0"/>
        <v>20000</v>
      </c>
      <c r="Z9" s="28">
        <f t="shared" si="1"/>
        <v>20000</v>
      </c>
      <c r="AA9" s="76">
        <f t="shared" si="2"/>
        <v>14058</v>
      </c>
      <c r="AB9" s="76">
        <f t="shared" si="3"/>
        <v>2608</v>
      </c>
      <c r="AC9" s="76">
        <f t="shared" si="4"/>
        <v>0</v>
      </c>
      <c r="AD9" s="76">
        <f t="shared" si="5"/>
        <v>0</v>
      </c>
      <c r="AE9" s="76">
        <f t="shared" si="6"/>
        <v>16666</v>
      </c>
      <c r="AF9" s="17">
        <f t="shared" si="9"/>
        <v>1500</v>
      </c>
      <c r="AG9" s="76">
        <f t="shared" si="10"/>
        <v>125</v>
      </c>
      <c r="AH9" s="78">
        <v>0</v>
      </c>
      <c r="AI9" s="11">
        <v>0</v>
      </c>
      <c r="AJ9" s="76">
        <f t="shared" si="7"/>
        <v>1625</v>
      </c>
      <c r="AK9" s="92">
        <f t="shared" si="8"/>
        <v>15041</v>
      </c>
      <c r="AL9" s="128">
        <v>0.5</v>
      </c>
      <c r="AM9" s="128">
        <v>0</v>
      </c>
      <c r="AN9" s="66">
        <f t="shared" ref="AN9:AN30" si="11">J9+90</f>
        <v>46208</v>
      </c>
      <c r="AO9" s="71"/>
    </row>
    <row r="10" spans="1:41" s="68" customFormat="1" x14ac:dyDescent="0.35">
      <c r="A10" s="28">
        <v>4</v>
      </c>
      <c r="B10" s="143" t="s">
        <v>190</v>
      </c>
      <c r="C10" s="165" t="s">
        <v>190</v>
      </c>
      <c r="D10" s="40" t="s">
        <v>252</v>
      </c>
      <c r="E10" s="17" t="s">
        <v>230</v>
      </c>
      <c r="F10" s="36">
        <v>36991</v>
      </c>
      <c r="G10" s="40" t="s">
        <v>314</v>
      </c>
      <c r="H10" s="17">
        <v>1779</v>
      </c>
      <c r="I10" s="17"/>
      <c r="J10" s="149">
        <v>46118</v>
      </c>
      <c r="K10" s="36"/>
      <c r="L10" s="26" t="s">
        <v>123</v>
      </c>
      <c r="M10" s="26" t="s">
        <v>27</v>
      </c>
      <c r="N10" s="26" t="s">
        <v>27</v>
      </c>
      <c r="O10" s="40"/>
      <c r="P10" s="40"/>
      <c r="Q10" s="40" t="s">
        <v>226</v>
      </c>
      <c r="R10" s="40" t="s">
        <v>226</v>
      </c>
      <c r="S10" s="145">
        <v>25</v>
      </c>
      <c r="T10" s="140">
        <v>25</v>
      </c>
      <c r="U10" s="28">
        <f>16870+130</f>
        <v>17000</v>
      </c>
      <c r="V10" s="28">
        <f>130-130</f>
        <v>0</v>
      </c>
      <c r="W10" s="28">
        <v>0</v>
      </c>
      <c r="X10" s="37">
        <v>0</v>
      </c>
      <c r="Y10" s="28">
        <f t="shared" si="0"/>
        <v>17000</v>
      </c>
      <c r="Z10" s="28">
        <f t="shared" si="1"/>
        <v>17000</v>
      </c>
      <c r="AA10" s="76">
        <f t="shared" si="2"/>
        <v>14167</v>
      </c>
      <c r="AB10" s="76">
        <f t="shared" si="3"/>
        <v>0</v>
      </c>
      <c r="AC10" s="76">
        <f t="shared" si="4"/>
        <v>0</v>
      </c>
      <c r="AD10" s="76">
        <f t="shared" si="5"/>
        <v>0</v>
      </c>
      <c r="AE10" s="76">
        <f t="shared" si="6"/>
        <v>14167</v>
      </c>
      <c r="AF10" s="17">
        <f t="shared" si="9"/>
        <v>1500</v>
      </c>
      <c r="AG10" s="76">
        <f t="shared" si="10"/>
        <v>107</v>
      </c>
      <c r="AH10" s="78">
        <v>0</v>
      </c>
      <c r="AI10" s="11">
        <v>0</v>
      </c>
      <c r="AJ10" s="76">
        <f t="shared" si="7"/>
        <v>1607</v>
      </c>
      <c r="AK10" s="92">
        <f t="shared" si="8"/>
        <v>12560</v>
      </c>
      <c r="AL10" s="128">
        <v>1</v>
      </c>
      <c r="AM10" s="128">
        <v>0.5</v>
      </c>
      <c r="AN10" s="66">
        <f t="shared" si="11"/>
        <v>46208</v>
      </c>
      <c r="AO10" s="71"/>
    </row>
    <row r="11" spans="1:41" s="68" customFormat="1" x14ac:dyDescent="0.35">
      <c r="A11" s="28">
        <v>5</v>
      </c>
      <c r="B11" s="143" t="s">
        <v>190</v>
      </c>
      <c r="C11" s="165" t="s">
        <v>190</v>
      </c>
      <c r="D11" s="40" t="s">
        <v>253</v>
      </c>
      <c r="E11" s="17" t="s">
        <v>231</v>
      </c>
      <c r="F11" s="36">
        <v>37911</v>
      </c>
      <c r="G11" s="40" t="s">
        <v>315</v>
      </c>
      <c r="H11" s="17">
        <v>1782</v>
      </c>
      <c r="I11" s="17"/>
      <c r="J11" s="149">
        <v>46118</v>
      </c>
      <c r="K11" s="36"/>
      <c r="L11" s="26" t="s">
        <v>123</v>
      </c>
      <c r="M11" s="26" t="s">
        <v>27</v>
      </c>
      <c r="N11" s="26" t="s">
        <v>27</v>
      </c>
      <c r="O11" s="40"/>
      <c r="P11" s="40"/>
      <c r="Q11" s="40" t="s">
        <v>226</v>
      </c>
      <c r="R11" s="40" t="s">
        <v>226</v>
      </c>
      <c r="S11" s="145">
        <v>24</v>
      </c>
      <c r="T11" s="140">
        <f>24+1</f>
        <v>25</v>
      </c>
      <c r="U11" s="28">
        <v>16870</v>
      </c>
      <c r="V11" s="28">
        <v>1130</v>
      </c>
      <c r="W11" s="28">
        <v>0</v>
      </c>
      <c r="X11" s="37">
        <v>0</v>
      </c>
      <c r="Y11" s="28">
        <f t="shared" si="0"/>
        <v>18000</v>
      </c>
      <c r="Z11" s="28">
        <f t="shared" si="1"/>
        <v>18000</v>
      </c>
      <c r="AA11" s="76">
        <f t="shared" si="2"/>
        <v>14058</v>
      </c>
      <c r="AB11" s="76">
        <f t="shared" si="3"/>
        <v>942</v>
      </c>
      <c r="AC11" s="76">
        <f t="shared" si="4"/>
        <v>0</v>
      </c>
      <c r="AD11" s="76">
        <f t="shared" si="5"/>
        <v>0</v>
      </c>
      <c r="AE11" s="76">
        <f t="shared" si="6"/>
        <v>15000</v>
      </c>
      <c r="AF11" s="17">
        <f t="shared" si="9"/>
        <v>1500</v>
      </c>
      <c r="AG11" s="76">
        <f t="shared" si="10"/>
        <v>113</v>
      </c>
      <c r="AH11" s="78">
        <v>0</v>
      </c>
      <c r="AI11" s="11">
        <v>0</v>
      </c>
      <c r="AJ11" s="76">
        <f t="shared" si="7"/>
        <v>1613</v>
      </c>
      <c r="AK11" s="92">
        <f t="shared" si="8"/>
        <v>13387</v>
      </c>
      <c r="AL11" s="128">
        <v>0.5</v>
      </c>
      <c r="AM11" s="128">
        <v>0</v>
      </c>
      <c r="AN11" s="66">
        <f t="shared" si="11"/>
        <v>46208</v>
      </c>
      <c r="AO11" s="71"/>
    </row>
    <row r="12" spans="1:41" s="68" customFormat="1" x14ac:dyDescent="0.35">
      <c r="A12" s="28">
        <v>6</v>
      </c>
      <c r="B12" s="143" t="s">
        <v>190</v>
      </c>
      <c r="C12" s="165" t="s">
        <v>190</v>
      </c>
      <c r="D12" s="40" t="s">
        <v>254</v>
      </c>
      <c r="E12" s="17" t="s">
        <v>232</v>
      </c>
      <c r="F12" s="36">
        <v>38232</v>
      </c>
      <c r="G12" s="40" t="s">
        <v>316</v>
      </c>
      <c r="H12" s="17">
        <v>1783</v>
      </c>
      <c r="I12" s="17"/>
      <c r="J12" s="149">
        <v>46118</v>
      </c>
      <c r="K12" s="36"/>
      <c r="L12" s="26" t="s">
        <v>123</v>
      </c>
      <c r="M12" s="26" t="s">
        <v>27</v>
      </c>
      <c r="N12" s="26" t="s">
        <v>27</v>
      </c>
      <c r="O12" s="40"/>
      <c r="P12" s="40"/>
      <c r="Q12" s="40" t="s">
        <v>226</v>
      </c>
      <c r="R12" s="40" t="s">
        <v>226</v>
      </c>
      <c r="S12" s="145">
        <v>25</v>
      </c>
      <c r="T12" s="140">
        <v>25</v>
      </c>
      <c r="U12" s="28">
        <v>16870</v>
      </c>
      <c r="V12" s="28">
        <v>3130</v>
      </c>
      <c r="W12" s="28">
        <v>0</v>
      </c>
      <c r="X12" s="37">
        <v>0</v>
      </c>
      <c r="Y12" s="28">
        <f t="shared" si="0"/>
        <v>20000</v>
      </c>
      <c r="Z12" s="28">
        <f t="shared" si="1"/>
        <v>20000</v>
      </c>
      <c r="AA12" s="76">
        <f t="shared" si="2"/>
        <v>14058</v>
      </c>
      <c r="AB12" s="76">
        <f t="shared" si="3"/>
        <v>2608</v>
      </c>
      <c r="AC12" s="76">
        <f t="shared" si="4"/>
        <v>0</v>
      </c>
      <c r="AD12" s="76">
        <f t="shared" si="5"/>
        <v>0</v>
      </c>
      <c r="AE12" s="76">
        <f t="shared" si="6"/>
        <v>16666</v>
      </c>
      <c r="AF12" s="17">
        <f t="shared" si="9"/>
        <v>1500</v>
      </c>
      <c r="AG12" s="76">
        <f t="shared" si="10"/>
        <v>125</v>
      </c>
      <c r="AH12" s="78">
        <v>0</v>
      </c>
      <c r="AI12" s="11">
        <v>0</v>
      </c>
      <c r="AJ12" s="76">
        <f t="shared" si="7"/>
        <v>1625</v>
      </c>
      <c r="AK12" s="92">
        <f t="shared" si="8"/>
        <v>15041</v>
      </c>
      <c r="AL12" s="128">
        <v>1</v>
      </c>
      <c r="AM12" s="128">
        <v>0.5</v>
      </c>
      <c r="AN12" s="66">
        <f t="shared" si="11"/>
        <v>46208</v>
      </c>
      <c r="AO12" s="71"/>
    </row>
    <row r="13" spans="1:41" s="114" customFormat="1" x14ac:dyDescent="0.35">
      <c r="A13" s="100">
        <v>7</v>
      </c>
      <c r="B13" s="164" t="s">
        <v>190</v>
      </c>
      <c r="C13" s="166" t="s">
        <v>190</v>
      </c>
      <c r="D13" s="108" t="s">
        <v>255</v>
      </c>
      <c r="E13" s="100" t="s">
        <v>233</v>
      </c>
      <c r="F13" s="111">
        <v>36580</v>
      </c>
      <c r="G13" s="108" t="s">
        <v>317</v>
      </c>
      <c r="H13" s="100">
        <v>1784</v>
      </c>
      <c r="I13" s="100"/>
      <c r="J13" s="111">
        <v>46118</v>
      </c>
      <c r="K13" s="111"/>
      <c r="L13" s="102" t="s">
        <v>123</v>
      </c>
      <c r="M13" s="102" t="s">
        <v>27</v>
      </c>
      <c r="N13" s="102" t="s">
        <v>27</v>
      </c>
      <c r="O13" s="108"/>
      <c r="P13" s="108"/>
      <c r="Q13" s="108" t="s">
        <v>226</v>
      </c>
      <c r="R13" s="108" t="s">
        <v>226</v>
      </c>
      <c r="S13" s="146">
        <v>19</v>
      </c>
      <c r="T13" s="132">
        <f>19+1.5</f>
        <v>20.5</v>
      </c>
      <c r="U13" s="100">
        <v>16870</v>
      </c>
      <c r="V13" s="100">
        <v>1130</v>
      </c>
      <c r="W13" s="100">
        <v>0</v>
      </c>
      <c r="X13" s="112">
        <v>0</v>
      </c>
      <c r="Y13" s="100">
        <f t="shared" si="0"/>
        <v>18000</v>
      </c>
      <c r="Z13" s="100">
        <f t="shared" si="1"/>
        <v>18000</v>
      </c>
      <c r="AA13" s="104">
        <f t="shared" si="2"/>
        <v>11528</v>
      </c>
      <c r="AB13" s="104">
        <f t="shared" si="3"/>
        <v>772</v>
      </c>
      <c r="AC13" s="104">
        <f t="shared" si="4"/>
        <v>0</v>
      </c>
      <c r="AD13" s="104">
        <f t="shared" si="5"/>
        <v>0</v>
      </c>
      <c r="AE13" s="104">
        <f t="shared" si="6"/>
        <v>12300</v>
      </c>
      <c r="AF13" s="100">
        <f t="shared" si="9"/>
        <v>1230</v>
      </c>
      <c r="AG13" s="104">
        <f t="shared" si="10"/>
        <v>93</v>
      </c>
      <c r="AH13" s="105">
        <v>0</v>
      </c>
      <c r="AI13" s="101">
        <v>0</v>
      </c>
      <c r="AJ13" s="104">
        <f t="shared" si="7"/>
        <v>1323</v>
      </c>
      <c r="AK13" s="106">
        <f t="shared" si="8"/>
        <v>10977</v>
      </c>
      <c r="AL13" s="130">
        <v>0</v>
      </c>
      <c r="AM13" s="130">
        <v>0</v>
      </c>
      <c r="AN13" s="66">
        <f t="shared" si="11"/>
        <v>46208</v>
      </c>
      <c r="AO13" s="67" t="s">
        <v>248</v>
      </c>
    </row>
    <row r="14" spans="1:41" s="68" customFormat="1" x14ac:dyDescent="0.35">
      <c r="A14" s="28">
        <v>8</v>
      </c>
      <c r="B14" s="143" t="s">
        <v>190</v>
      </c>
      <c r="C14" s="165" t="s">
        <v>190</v>
      </c>
      <c r="D14" s="40" t="s">
        <v>256</v>
      </c>
      <c r="E14" s="17" t="s">
        <v>234</v>
      </c>
      <c r="F14" s="36">
        <v>37027</v>
      </c>
      <c r="G14" s="40" t="s">
        <v>318</v>
      </c>
      <c r="H14" s="17">
        <v>1773</v>
      </c>
      <c r="I14" s="17"/>
      <c r="J14" s="149">
        <v>46118</v>
      </c>
      <c r="K14" s="36"/>
      <c r="L14" s="26" t="s">
        <v>123</v>
      </c>
      <c r="M14" s="26" t="s">
        <v>27</v>
      </c>
      <c r="N14" s="26" t="s">
        <v>27</v>
      </c>
      <c r="O14" s="40"/>
      <c r="P14" s="40"/>
      <c r="Q14" s="40" t="s">
        <v>226</v>
      </c>
      <c r="R14" s="40" t="s">
        <v>226</v>
      </c>
      <c r="S14" s="145">
        <v>25</v>
      </c>
      <c r="T14" s="140">
        <v>25</v>
      </c>
      <c r="U14" s="28">
        <v>16870</v>
      </c>
      <c r="V14" s="28">
        <v>1130</v>
      </c>
      <c r="W14" s="28">
        <v>0</v>
      </c>
      <c r="X14" s="37">
        <v>0</v>
      </c>
      <c r="Y14" s="28">
        <f t="shared" si="0"/>
        <v>18000</v>
      </c>
      <c r="Z14" s="28">
        <f t="shared" si="1"/>
        <v>18000</v>
      </c>
      <c r="AA14" s="76">
        <f t="shared" si="2"/>
        <v>14058</v>
      </c>
      <c r="AB14" s="76">
        <f t="shared" si="3"/>
        <v>942</v>
      </c>
      <c r="AC14" s="76">
        <f t="shared" si="4"/>
        <v>0</v>
      </c>
      <c r="AD14" s="76">
        <f t="shared" si="5"/>
        <v>0</v>
      </c>
      <c r="AE14" s="76">
        <f t="shared" si="6"/>
        <v>15000</v>
      </c>
      <c r="AF14" s="17">
        <f t="shared" si="9"/>
        <v>1500</v>
      </c>
      <c r="AG14" s="76">
        <f t="shared" si="10"/>
        <v>113</v>
      </c>
      <c r="AH14" s="78">
        <v>0</v>
      </c>
      <c r="AI14" s="11">
        <v>0</v>
      </c>
      <c r="AJ14" s="76">
        <f t="shared" si="7"/>
        <v>1613</v>
      </c>
      <c r="AK14" s="92">
        <f t="shared" si="8"/>
        <v>13387</v>
      </c>
      <c r="AL14" s="128">
        <v>1</v>
      </c>
      <c r="AM14" s="128">
        <v>0.5</v>
      </c>
      <c r="AN14" s="66">
        <f t="shared" si="11"/>
        <v>46208</v>
      </c>
      <c r="AO14" s="71"/>
    </row>
    <row r="15" spans="1:41" s="68" customFormat="1" x14ac:dyDescent="0.35">
      <c r="A15" s="28">
        <v>9</v>
      </c>
      <c r="B15" s="143" t="s">
        <v>190</v>
      </c>
      <c r="C15" s="165" t="s">
        <v>190</v>
      </c>
      <c r="D15" s="40" t="s">
        <v>257</v>
      </c>
      <c r="E15" s="17" t="s">
        <v>235</v>
      </c>
      <c r="F15" s="36">
        <v>37582</v>
      </c>
      <c r="G15" s="40" t="s">
        <v>319</v>
      </c>
      <c r="H15" s="17">
        <v>1786</v>
      </c>
      <c r="I15" s="17"/>
      <c r="J15" s="149">
        <v>46118</v>
      </c>
      <c r="K15" s="36"/>
      <c r="L15" s="26" t="s">
        <v>123</v>
      </c>
      <c r="M15" s="26" t="s">
        <v>27</v>
      </c>
      <c r="N15" s="26" t="s">
        <v>27</v>
      </c>
      <c r="O15" s="40"/>
      <c r="P15" s="40"/>
      <c r="Q15" s="40" t="s">
        <v>226</v>
      </c>
      <c r="R15" s="40" t="s">
        <v>226</v>
      </c>
      <c r="S15" s="145">
        <v>25</v>
      </c>
      <c r="T15" s="140">
        <v>25</v>
      </c>
      <c r="U15" s="28">
        <v>16870</v>
      </c>
      <c r="V15" s="28">
        <v>1130</v>
      </c>
      <c r="W15" s="28">
        <v>0</v>
      </c>
      <c r="X15" s="37">
        <v>0</v>
      </c>
      <c r="Y15" s="28">
        <f t="shared" si="0"/>
        <v>18000</v>
      </c>
      <c r="Z15" s="28">
        <f t="shared" si="1"/>
        <v>18000</v>
      </c>
      <c r="AA15" s="76">
        <f t="shared" si="2"/>
        <v>14058</v>
      </c>
      <c r="AB15" s="76">
        <f t="shared" si="3"/>
        <v>942</v>
      </c>
      <c r="AC15" s="76">
        <f t="shared" si="4"/>
        <v>0</v>
      </c>
      <c r="AD15" s="76">
        <f t="shared" si="5"/>
        <v>0</v>
      </c>
      <c r="AE15" s="76">
        <f t="shared" si="6"/>
        <v>15000</v>
      </c>
      <c r="AF15" s="17">
        <f t="shared" si="9"/>
        <v>1500</v>
      </c>
      <c r="AG15" s="76">
        <f t="shared" si="10"/>
        <v>113</v>
      </c>
      <c r="AH15" s="78">
        <v>0</v>
      </c>
      <c r="AI15" s="11">
        <v>0</v>
      </c>
      <c r="AJ15" s="76">
        <f t="shared" si="7"/>
        <v>1613</v>
      </c>
      <c r="AK15" s="92">
        <f t="shared" si="8"/>
        <v>13387</v>
      </c>
      <c r="AL15" s="128">
        <v>1</v>
      </c>
      <c r="AM15" s="128">
        <v>0.5</v>
      </c>
      <c r="AN15" s="66">
        <f t="shared" si="11"/>
        <v>46208</v>
      </c>
      <c r="AO15" s="71"/>
    </row>
    <row r="16" spans="1:41" s="68" customFormat="1" x14ac:dyDescent="0.35">
      <c r="A16" s="28">
        <v>10</v>
      </c>
      <c r="B16" s="143" t="s">
        <v>190</v>
      </c>
      <c r="C16" s="165" t="s">
        <v>190</v>
      </c>
      <c r="D16" s="40" t="s">
        <v>258</v>
      </c>
      <c r="E16" s="17" t="s">
        <v>310</v>
      </c>
      <c r="F16" s="36">
        <v>33484</v>
      </c>
      <c r="G16" s="40" t="s">
        <v>311</v>
      </c>
      <c r="H16" s="17">
        <v>1897</v>
      </c>
      <c r="I16" s="17"/>
      <c r="J16" s="149">
        <v>46122</v>
      </c>
      <c r="K16" s="36"/>
      <c r="L16" s="26" t="s">
        <v>123</v>
      </c>
      <c r="M16" s="26" t="s">
        <v>27</v>
      </c>
      <c r="N16" s="26" t="s">
        <v>27</v>
      </c>
      <c r="O16" s="40"/>
      <c r="P16" s="40"/>
      <c r="Q16" s="40" t="s">
        <v>226</v>
      </c>
      <c r="R16" s="40" t="s">
        <v>226</v>
      </c>
      <c r="S16" s="145">
        <v>20</v>
      </c>
      <c r="T16" s="140">
        <v>21</v>
      </c>
      <c r="U16" s="28">
        <v>16630</v>
      </c>
      <c r="V16" s="28">
        <v>0</v>
      </c>
      <c r="W16" s="28">
        <v>0</v>
      </c>
      <c r="X16" s="37">
        <v>0</v>
      </c>
      <c r="Y16" s="28">
        <f t="shared" si="0"/>
        <v>16630</v>
      </c>
      <c r="Z16" s="28">
        <f t="shared" si="1"/>
        <v>16630</v>
      </c>
      <c r="AA16" s="76">
        <f t="shared" si="2"/>
        <v>11641</v>
      </c>
      <c r="AB16" s="76">
        <f t="shared" si="3"/>
        <v>0</v>
      </c>
      <c r="AC16" s="76">
        <f t="shared" si="4"/>
        <v>0</v>
      </c>
      <c r="AD16" s="76">
        <f t="shared" si="5"/>
        <v>0</v>
      </c>
      <c r="AE16" s="76">
        <f t="shared" si="6"/>
        <v>11641</v>
      </c>
      <c r="AF16" s="17">
        <f>ROUND(IF(U16&gt;15000,(15000/$A$3*T16)*12%,AA16*12%)*1,0)</f>
        <v>1260</v>
      </c>
      <c r="AG16" s="76">
        <f t="shared" si="10"/>
        <v>88</v>
      </c>
      <c r="AH16" s="78">
        <v>0</v>
      </c>
      <c r="AI16" s="11">
        <v>0</v>
      </c>
      <c r="AJ16" s="76">
        <f t="shared" si="7"/>
        <v>1348</v>
      </c>
      <c r="AK16" s="92">
        <f t="shared" si="8"/>
        <v>10293</v>
      </c>
      <c r="AL16" s="128">
        <v>0.5</v>
      </c>
      <c r="AM16" s="128">
        <v>0</v>
      </c>
      <c r="AN16" s="66">
        <f t="shared" si="11"/>
        <v>46212</v>
      </c>
      <c r="AO16" s="71"/>
    </row>
    <row r="17" spans="1:41" s="114" customFormat="1" x14ac:dyDescent="0.35">
      <c r="A17" s="28">
        <v>11</v>
      </c>
      <c r="B17" s="164" t="s">
        <v>190</v>
      </c>
      <c r="C17" s="165" t="s">
        <v>190</v>
      </c>
      <c r="D17" s="108" t="s">
        <v>259</v>
      </c>
      <c r="E17" s="100" t="s">
        <v>236</v>
      </c>
      <c r="F17" s="111">
        <v>37477</v>
      </c>
      <c r="G17" s="108" t="s">
        <v>320</v>
      </c>
      <c r="H17" s="100">
        <v>1835</v>
      </c>
      <c r="I17" s="100"/>
      <c r="J17" s="111">
        <v>46125</v>
      </c>
      <c r="K17" s="111"/>
      <c r="L17" s="26" t="s">
        <v>123</v>
      </c>
      <c r="M17" s="26" t="s">
        <v>27</v>
      </c>
      <c r="N17" s="26" t="s">
        <v>27</v>
      </c>
      <c r="O17" s="108"/>
      <c r="P17" s="108"/>
      <c r="Q17" s="108" t="s">
        <v>226</v>
      </c>
      <c r="R17" s="108" t="s">
        <v>226</v>
      </c>
      <c r="S17" s="146">
        <v>6</v>
      </c>
      <c r="T17" s="132">
        <v>6</v>
      </c>
      <c r="U17" s="100">
        <v>16870</v>
      </c>
      <c r="V17" s="100">
        <v>3130</v>
      </c>
      <c r="W17" s="28">
        <v>0</v>
      </c>
      <c r="X17" s="37">
        <v>0</v>
      </c>
      <c r="Y17" s="100">
        <f t="shared" si="0"/>
        <v>20000</v>
      </c>
      <c r="Z17" s="100">
        <f t="shared" si="1"/>
        <v>20000</v>
      </c>
      <c r="AA17" s="104">
        <f t="shared" si="2"/>
        <v>3374</v>
      </c>
      <c r="AB17" s="104">
        <f t="shared" si="3"/>
        <v>626</v>
      </c>
      <c r="AC17" s="104">
        <f t="shared" si="4"/>
        <v>0</v>
      </c>
      <c r="AD17" s="104">
        <f t="shared" si="5"/>
        <v>0</v>
      </c>
      <c r="AE17" s="104">
        <f t="shared" si="6"/>
        <v>4000</v>
      </c>
      <c r="AF17" s="100">
        <f t="shared" ref="AF17:AF23" si="12">ROUND(IF(U17&gt;15000,(15000/$A$3*T17)*12%,AA17*12%)*1,0)</f>
        <v>360</v>
      </c>
      <c r="AG17" s="104">
        <f t="shared" si="10"/>
        <v>30</v>
      </c>
      <c r="AH17" s="105">
        <v>0</v>
      </c>
      <c r="AI17" s="101">
        <v>0</v>
      </c>
      <c r="AJ17" s="104">
        <f t="shared" si="7"/>
        <v>390</v>
      </c>
      <c r="AK17" s="106">
        <f t="shared" si="8"/>
        <v>3610</v>
      </c>
      <c r="AL17" s="130">
        <v>0</v>
      </c>
      <c r="AM17" s="130">
        <v>0</v>
      </c>
      <c r="AN17" s="66">
        <f t="shared" si="11"/>
        <v>46215</v>
      </c>
      <c r="AO17" s="67" t="s">
        <v>248</v>
      </c>
    </row>
    <row r="18" spans="1:41" s="68" customFormat="1" x14ac:dyDescent="0.35">
      <c r="A18" s="28">
        <v>12</v>
      </c>
      <c r="B18" s="143" t="s">
        <v>190</v>
      </c>
      <c r="C18" s="165" t="s">
        <v>190</v>
      </c>
      <c r="D18" s="40" t="s">
        <v>260</v>
      </c>
      <c r="E18" s="17" t="s">
        <v>237</v>
      </c>
      <c r="F18" s="36">
        <v>38210</v>
      </c>
      <c r="G18" s="40" t="s">
        <v>321</v>
      </c>
      <c r="H18" s="17">
        <v>1836</v>
      </c>
      <c r="I18" s="17"/>
      <c r="J18" s="149">
        <v>46125</v>
      </c>
      <c r="K18" s="36"/>
      <c r="L18" s="26" t="s">
        <v>123</v>
      </c>
      <c r="M18" s="26" t="s">
        <v>27</v>
      </c>
      <c r="N18" s="26" t="s">
        <v>27</v>
      </c>
      <c r="O18" s="40"/>
      <c r="P18" s="40"/>
      <c r="Q18" s="40" t="s">
        <v>226</v>
      </c>
      <c r="R18" s="40" t="s">
        <v>226</v>
      </c>
      <c r="S18" s="145">
        <v>18</v>
      </c>
      <c r="T18" s="140">
        <v>18</v>
      </c>
      <c r="U18" s="28">
        <v>16870</v>
      </c>
      <c r="V18" s="28">
        <v>3130</v>
      </c>
      <c r="W18" s="28">
        <v>0</v>
      </c>
      <c r="X18" s="37">
        <v>0</v>
      </c>
      <c r="Y18" s="28">
        <f t="shared" si="0"/>
        <v>20000</v>
      </c>
      <c r="Z18" s="28">
        <f t="shared" si="1"/>
        <v>20000</v>
      </c>
      <c r="AA18" s="76">
        <f t="shared" si="2"/>
        <v>10122</v>
      </c>
      <c r="AB18" s="76">
        <f t="shared" si="3"/>
        <v>1878</v>
      </c>
      <c r="AC18" s="76">
        <f t="shared" si="4"/>
        <v>0</v>
      </c>
      <c r="AD18" s="76">
        <f t="shared" si="5"/>
        <v>0</v>
      </c>
      <c r="AE18" s="76">
        <f t="shared" si="6"/>
        <v>12000</v>
      </c>
      <c r="AF18" s="17">
        <f t="shared" si="12"/>
        <v>1080</v>
      </c>
      <c r="AG18" s="76">
        <f t="shared" si="10"/>
        <v>90</v>
      </c>
      <c r="AH18" s="78">
        <v>0</v>
      </c>
      <c r="AI18" s="11">
        <v>0</v>
      </c>
      <c r="AJ18" s="76">
        <f t="shared" si="7"/>
        <v>1170</v>
      </c>
      <c r="AK18" s="92">
        <f t="shared" si="8"/>
        <v>10830</v>
      </c>
      <c r="AL18" s="128">
        <v>1</v>
      </c>
      <c r="AM18" s="128">
        <v>0.5</v>
      </c>
      <c r="AN18" s="66">
        <f t="shared" si="11"/>
        <v>46215</v>
      </c>
      <c r="AO18" s="71"/>
    </row>
    <row r="19" spans="1:41" s="68" customFormat="1" x14ac:dyDescent="0.35">
      <c r="A19" s="28">
        <v>13</v>
      </c>
      <c r="B19" s="143" t="s">
        <v>190</v>
      </c>
      <c r="C19" s="165" t="s">
        <v>190</v>
      </c>
      <c r="D19" s="40" t="s">
        <v>322</v>
      </c>
      <c r="E19" s="17" t="s">
        <v>238</v>
      </c>
      <c r="F19" s="36">
        <v>111469</v>
      </c>
      <c r="G19" s="40" t="s">
        <v>323</v>
      </c>
      <c r="H19" s="17">
        <v>1838</v>
      </c>
      <c r="I19" s="17"/>
      <c r="J19" s="149">
        <v>46125</v>
      </c>
      <c r="K19" s="36"/>
      <c r="L19" s="26" t="s">
        <v>123</v>
      </c>
      <c r="M19" s="26" t="s">
        <v>27</v>
      </c>
      <c r="N19" s="26" t="s">
        <v>27</v>
      </c>
      <c r="O19" s="40"/>
      <c r="P19" s="40"/>
      <c r="Q19" s="40" t="s">
        <v>226</v>
      </c>
      <c r="R19" s="40" t="s">
        <v>226</v>
      </c>
      <c r="S19" s="145">
        <v>18</v>
      </c>
      <c r="T19" s="140">
        <v>18</v>
      </c>
      <c r="U19" s="28">
        <f t="shared" ref="U19:U21" si="13">16870+130</f>
        <v>17000</v>
      </c>
      <c r="V19" s="28">
        <f t="shared" ref="V19:V21" si="14">130-130</f>
        <v>0</v>
      </c>
      <c r="W19" s="28">
        <v>0</v>
      </c>
      <c r="X19" s="37">
        <v>0</v>
      </c>
      <c r="Y19" s="28">
        <f t="shared" si="0"/>
        <v>17000</v>
      </c>
      <c r="Z19" s="28">
        <f t="shared" si="1"/>
        <v>17000</v>
      </c>
      <c r="AA19" s="76">
        <f t="shared" si="2"/>
        <v>10200</v>
      </c>
      <c r="AB19" s="76">
        <f t="shared" si="3"/>
        <v>0</v>
      </c>
      <c r="AC19" s="76">
        <f t="shared" si="4"/>
        <v>0</v>
      </c>
      <c r="AD19" s="76">
        <f t="shared" si="5"/>
        <v>0</v>
      </c>
      <c r="AE19" s="76">
        <f t="shared" si="6"/>
        <v>10200</v>
      </c>
      <c r="AF19" s="17">
        <f t="shared" si="12"/>
        <v>1080</v>
      </c>
      <c r="AG19" s="76">
        <f t="shared" si="10"/>
        <v>77</v>
      </c>
      <c r="AH19" s="78">
        <v>0</v>
      </c>
      <c r="AI19" s="11">
        <v>0</v>
      </c>
      <c r="AJ19" s="76">
        <f t="shared" si="7"/>
        <v>1157</v>
      </c>
      <c r="AK19" s="92">
        <f t="shared" si="8"/>
        <v>9043</v>
      </c>
      <c r="AL19" s="128">
        <v>1</v>
      </c>
      <c r="AM19" s="128">
        <v>0.5</v>
      </c>
      <c r="AN19" s="66">
        <f t="shared" si="11"/>
        <v>46215</v>
      </c>
      <c r="AO19" s="71"/>
    </row>
    <row r="20" spans="1:41" s="68" customFormat="1" x14ac:dyDescent="0.35">
      <c r="A20" s="28">
        <v>14</v>
      </c>
      <c r="B20" s="143" t="s">
        <v>190</v>
      </c>
      <c r="C20" s="165" t="s">
        <v>190</v>
      </c>
      <c r="D20" s="40" t="s">
        <v>261</v>
      </c>
      <c r="E20" s="17" t="s">
        <v>239</v>
      </c>
      <c r="F20" s="36">
        <v>37787</v>
      </c>
      <c r="G20" s="40" t="s">
        <v>324</v>
      </c>
      <c r="H20" s="17">
        <v>1898</v>
      </c>
      <c r="I20" s="17"/>
      <c r="J20" s="149">
        <v>46132</v>
      </c>
      <c r="K20" s="36"/>
      <c r="L20" s="26" t="s">
        <v>123</v>
      </c>
      <c r="M20" s="26" t="s">
        <v>27</v>
      </c>
      <c r="N20" s="26" t="s">
        <v>27</v>
      </c>
      <c r="O20" s="40"/>
      <c r="P20" s="40"/>
      <c r="Q20" s="40" t="s">
        <v>226</v>
      </c>
      <c r="R20" s="40" t="s">
        <v>226</v>
      </c>
      <c r="S20" s="145">
        <v>9</v>
      </c>
      <c r="T20" s="140">
        <v>9</v>
      </c>
      <c r="U20" s="28">
        <f t="shared" si="13"/>
        <v>17000</v>
      </c>
      <c r="V20" s="28">
        <f t="shared" si="14"/>
        <v>0</v>
      </c>
      <c r="W20" s="28">
        <v>0</v>
      </c>
      <c r="X20" s="37">
        <v>0</v>
      </c>
      <c r="Y20" s="28">
        <f t="shared" si="0"/>
        <v>17000</v>
      </c>
      <c r="Z20" s="28">
        <f t="shared" si="1"/>
        <v>17000</v>
      </c>
      <c r="AA20" s="76">
        <f t="shared" si="2"/>
        <v>5100</v>
      </c>
      <c r="AB20" s="76">
        <f t="shared" si="3"/>
        <v>0</v>
      </c>
      <c r="AC20" s="76">
        <f t="shared" si="4"/>
        <v>0</v>
      </c>
      <c r="AD20" s="76">
        <f t="shared" si="5"/>
        <v>0</v>
      </c>
      <c r="AE20" s="76">
        <f t="shared" si="6"/>
        <v>5100</v>
      </c>
      <c r="AF20" s="17">
        <f t="shared" si="12"/>
        <v>540</v>
      </c>
      <c r="AG20" s="76">
        <f t="shared" si="10"/>
        <v>39</v>
      </c>
      <c r="AH20" s="78">
        <v>0</v>
      </c>
      <c r="AI20" s="11">
        <v>0</v>
      </c>
      <c r="AJ20" s="76">
        <f t="shared" si="7"/>
        <v>579</v>
      </c>
      <c r="AK20" s="92">
        <f t="shared" si="8"/>
        <v>4521</v>
      </c>
      <c r="AL20" s="128">
        <v>0</v>
      </c>
      <c r="AM20" s="128">
        <v>0</v>
      </c>
      <c r="AN20" s="66">
        <f t="shared" si="11"/>
        <v>46222</v>
      </c>
      <c r="AO20" s="71"/>
    </row>
    <row r="21" spans="1:41" s="68" customFormat="1" x14ac:dyDescent="0.35">
      <c r="A21" s="28">
        <v>15</v>
      </c>
      <c r="B21" s="143" t="s">
        <v>190</v>
      </c>
      <c r="C21" s="165" t="s">
        <v>190</v>
      </c>
      <c r="D21" s="40" t="s">
        <v>262</v>
      </c>
      <c r="E21" s="17" t="s">
        <v>240</v>
      </c>
      <c r="F21" s="36">
        <v>38194</v>
      </c>
      <c r="G21" s="40" t="s">
        <v>325</v>
      </c>
      <c r="H21" s="17">
        <v>1873</v>
      </c>
      <c r="I21" s="17"/>
      <c r="J21" s="149">
        <v>46132</v>
      </c>
      <c r="K21" s="36"/>
      <c r="L21" s="26" t="s">
        <v>123</v>
      </c>
      <c r="M21" s="26" t="s">
        <v>27</v>
      </c>
      <c r="N21" s="26" t="s">
        <v>27</v>
      </c>
      <c r="O21" s="40"/>
      <c r="P21" s="40"/>
      <c r="Q21" s="40" t="s">
        <v>226</v>
      </c>
      <c r="R21" s="40" t="s">
        <v>226</v>
      </c>
      <c r="S21" s="145">
        <v>11</v>
      </c>
      <c r="T21" s="140">
        <v>11</v>
      </c>
      <c r="U21" s="28">
        <f t="shared" si="13"/>
        <v>17000</v>
      </c>
      <c r="V21" s="28">
        <f t="shared" si="14"/>
        <v>0</v>
      </c>
      <c r="W21" s="28">
        <v>0</v>
      </c>
      <c r="X21" s="37">
        <v>0</v>
      </c>
      <c r="Y21" s="28">
        <f t="shared" si="0"/>
        <v>17000</v>
      </c>
      <c r="Z21" s="28">
        <f t="shared" si="1"/>
        <v>17000</v>
      </c>
      <c r="AA21" s="76">
        <f t="shared" si="2"/>
        <v>6233</v>
      </c>
      <c r="AB21" s="76">
        <f t="shared" si="3"/>
        <v>0</v>
      </c>
      <c r="AC21" s="76">
        <f t="shared" si="4"/>
        <v>0</v>
      </c>
      <c r="AD21" s="76">
        <f t="shared" si="5"/>
        <v>0</v>
      </c>
      <c r="AE21" s="76">
        <f t="shared" si="6"/>
        <v>6233</v>
      </c>
      <c r="AF21" s="17">
        <f t="shared" si="12"/>
        <v>660</v>
      </c>
      <c r="AG21" s="76">
        <f t="shared" si="10"/>
        <v>47</v>
      </c>
      <c r="AH21" s="78">
        <v>0</v>
      </c>
      <c r="AI21" s="11">
        <v>0</v>
      </c>
      <c r="AJ21" s="76">
        <f t="shared" si="7"/>
        <v>707</v>
      </c>
      <c r="AK21" s="92">
        <f t="shared" si="8"/>
        <v>5526</v>
      </c>
      <c r="AL21" s="128">
        <v>0</v>
      </c>
      <c r="AM21" s="128">
        <v>0</v>
      </c>
      <c r="AN21" s="66">
        <f t="shared" si="11"/>
        <v>46222</v>
      </c>
      <c r="AO21" s="71"/>
    </row>
    <row r="22" spans="1:41" s="68" customFormat="1" x14ac:dyDescent="0.35">
      <c r="A22" s="28">
        <v>16</v>
      </c>
      <c r="B22" s="143" t="s">
        <v>190</v>
      </c>
      <c r="C22" s="165" t="s">
        <v>190</v>
      </c>
      <c r="D22" s="40" t="s">
        <v>263</v>
      </c>
      <c r="E22" s="17" t="s">
        <v>241</v>
      </c>
      <c r="F22" s="36">
        <v>36548</v>
      </c>
      <c r="G22" s="40" t="s">
        <v>326</v>
      </c>
      <c r="H22" s="17">
        <v>1881</v>
      </c>
      <c r="I22" s="17"/>
      <c r="J22" s="149">
        <v>46132</v>
      </c>
      <c r="K22" s="36"/>
      <c r="L22" s="26" t="s">
        <v>123</v>
      </c>
      <c r="M22" s="26" t="s">
        <v>27</v>
      </c>
      <c r="N22" s="26" t="s">
        <v>27</v>
      </c>
      <c r="O22" s="40"/>
      <c r="P22" s="40"/>
      <c r="Q22" s="40" t="s">
        <v>226</v>
      </c>
      <c r="R22" s="40" t="s">
        <v>226</v>
      </c>
      <c r="S22" s="145">
        <v>10</v>
      </c>
      <c r="T22" s="140">
        <v>10</v>
      </c>
      <c r="U22" s="28">
        <v>16870</v>
      </c>
      <c r="V22" s="28">
        <v>1130</v>
      </c>
      <c r="W22" s="28">
        <v>0</v>
      </c>
      <c r="X22" s="37">
        <v>0</v>
      </c>
      <c r="Y22" s="28">
        <f t="shared" si="0"/>
        <v>18000</v>
      </c>
      <c r="Z22" s="28">
        <f t="shared" si="1"/>
        <v>18000</v>
      </c>
      <c r="AA22" s="76">
        <f t="shared" si="2"/>
        <v>5623</v>
      </c>
      <c r="AB22" s="76">
        <f t="shared" si="3"/>
        <v>377</v>
      </c>
      <c r="AC22" s="76">
        <f t="shared" si="4"/>
        <v>0</v>
      </c>
      <c r="AD22" s="76">
        <f t="shared" si="5"/>
        <v>0</v>
      </c>
      <c r="AE22" s="76">
        <f t="shared" si="6"/>
        <v>6000</v>
      </c>
      <c r="AF22" s="17">
        <f t="shared" si="12"/>
        <v>600</v>
      </c>
      <c r="AG22" s="76">
        <f t="shared" si="10"/>
        <v>45</v>
      </c>
      <c r="AH22" s="78">
        <v>0</v>
      </c>
      <c r="AI22" s="11">
        <v>0</v>
      </c>
      <c r="AJ22" s="76">
        <f t="shared" si="7"/>
        <v>645</v>
      </c>
      <c r="AK22" s="92">
        <f t="shared" si="8"/>
        <v>5355</v>
      </c>
      <c r="AL22" s="128">
        <v>0</v>
      </c>
      <c r="AM22" s="128">
        <v>0</v>
      </c>
      <c r="AN22" s="66">
        <f t="shared" si="11"/>
        <v>46222</v>
      </c>
      <c r="AO22" s="71"/>
    </row>
    <row r="23" spans="1:41" s="68" customFormat="1" x14ac:dyDescent="0.35">
      <c r="A23" s="28">
        <v>17</v>
      </c>
      <c r="B23" s="143" t="s">
        <v>190</v>
      </c>
      <c r="C23" s="165" t="s">
        <v>190</v>
      </c>
      <c r="D23" s="40" t="s">
        <v>264</v>
      </c>
      <c r="E23" s="17" t="s">
        <v>327</v>
      </c>
      <c r="F23" s="36">
        <v>37945</v>
      </c>
      <c r="G23" s="40" t="s">
        <v>328</v>
      </c>
      <c r="H23" s="17">
        <v>1875</v>
      </c>
      <c r="I23" s="17"/>
      <c r="J23" s="149">
        <v>46132</v>
      </c>
      <c r="K23" s="36"/>
      <c r="L23" s="26" t="s">
        <v>123</v>
      </c>
      <c r="M23" s="26" t="s">
        <v>27</v>
      </c>
      <c r="N23" s="26" t="s">
        <v>27</v>
      </c>
      <c r="O23" s="40"/>
      <c r="P23" s="40"/>
      <c r="Q23" s="40" t="s">
        <v>226</v>
      </c>
      <c r="R23" s="40" t="s">
        <v>226</v>
      </c>
      <c r="S23" s="145">
        <v>11</v>
      </c>
      <c r="T23" s="140">
        <v>11</v>
      </c>
      <c r="U23" s="28">
        <f>16870+130</f>
        <v>17000</v>
      </c>
      <c r="V23" s="28">
        <f>130-130</f>
        <v>0</v>
      </c>
      <c r="W23" s="28">
        <v>0</v>
      </c>
      <c r="X23" s="37">
        <v>0</v>
      </c>
      <c r="Y23" s="28">
        <f t="shared" si="0"/>
        <v>17000</v>
      </c>
      <c r="Z23" s="28">
        <f t="shared" si="1"/>
        <v>17000</v>
      </c>
      <c r="AA23" s="76">
        <f t="shared" si="2"/>
        <v>6233</v>
      </c>
      <c r="AB23" s="76">
        <f t="shared" si="3"/>
        <v>0</v>
      </c>
      <c r="AC23" s="76">
        <f t="shared" si="4"/>
        <v>0</v>
      </c>
      <c r="AD23" s="76">
        <f t="shared" si="5"/>
        <v>0</v>
      </c>
      <c r="AE23" s="76">
        <f t="shared" si="6"/>
        <v>6233</v>
      </c>
      <c r="AF23" s="17">
        <f t="shared" si="12"/>
        <v>660</v>
      </c>
      <c r="AG23" s="76">
        <f t="shared" si="10"/>
        <v>47</v>
      </c>
      <c r="AH23" s="78">
        <v>0</v>
      </c>
      <c r="AI23" s="11">
        <v>0</v>
      </c>
      <c r="AJ23" s="76">
        <f t="shared" si="7"/>
        <v>707</v>
      </c>
      <c r="AK23" s="92">
        <f t="shared" si="8"/>
        <v>5526</v>
      </c>
      <c r="AL23" s="128">
        <v>0</v>
      </c>
      <c r="AM23" s="128">
        <v>0</v>
      </c>
      <c r="AN23" s="66">
        <f t="shared" si="11"/>
        <v>46222</v>
      </c>
      <c r="AO23" s="71"/>
    </row>
    <row r="24" spans="1:41" s="68" customFormat="1" x14ac:dyDescent="0.35">
      <c r="A24" s="28">
        <v>18</v>
      </c>
      <c r="B24" s="143" t="s">
        <v>27</v>
      </c>
      <c r="C24" s="165" t="s">
        <v>190</v>
      </c>
      <c r="D24" s="40" t="s">
        <v>265</v>
      </c>
      <c r="E24" s="17" t="s">
        <v>330</v>
      </c>
      <c r="F24" s="29">
        <v>38206</v>
      </c>
      <c r="G24" s="33" t="s">
        <v>329</v>
      </c>
      <c r="H24" s="28">
        <v>1901</v>
      </c>
      <c r="I24" s="17"/>
      <c r="J24" s="149">
        <v>46139</v>
      </c>
      <c r="K24" s="36"/>
      <c r="L24" s="26" t="s">
        <v>123</v>
      </c>
      <c r="M24" s="26" t="s">
        <v>27</v>
      </c>
      <c r="N24" s="26" t="s">
        <v>27</v>
      </c>
      <c r="O24" s="40"/>
      <c r="P24" s="40"/>
      <c r="Q24" s="40" t="s">
        <v>226</v>
      </c>
      <c r="R24" s="40" t="s">
        <v>226</v>
      </c>
      <c r="S24" s="145">
        <v>4</v>
      </c>
      <c r="T24" s="138">
        <v>4</v>
      </c>
      <c r="U24" s="28">
        <v>16870</v>
      </c>
      <c r="V24" s="28">
        <v>1130</v>
      </c>
      <c r="W24" s="28">
        <v>0</v>
      </c>
      <c r="X24" s="37">
        <v>0</v>
      </c>
      <c r="Y24" s="28">
        <f t="shared" si="0"/>
        <v>18000</v>
      </c>
      <c r="Z24" s="28">
        <f t="shared" si="1"/>
        <v>18000</v>
      </c>
      <c r="AA24" s="76">
        <f t="shared" si="2"/>
        <v>2249</v>
      </c>
      <c r="AB24" s="76">
        <f t="shared" si="3"/>
        <v>151</v>
      </c>
      <c r="AC24" s="76">
        <f t="shared" si="4"/>
        <v>0</v>
      </c>
      <c r="AD24" s="76">
        <f t="shared" si="5"/>
        <v>0</v>
      </c>
      <c r="AE24" s="76">
        <f t="shared" si="6"/>
        <v>2400</v>
      </c>
      <c r="AF24" s="17">
        <v>0</v>
      </c>
      <c r="AG24" s="76">
        <f t="shared" si="10"/>
        <v>18</v>
      </c>
      <c r="AH24" s="78">
        <v>0</v>
      </c>
      <c r="AI24" s="11">
        <v>0</v>
      </c>
      <c r="AJ24" s="76">
        <f t="shared" si="7"/>
        <v>18</v>
      </c>
      <c r="AK24" s="92">
        <f t="shared" si="8"/>
        <v>2382</v>
      </c>
      <c r="AL24" s="128">
        <v>0</v>
      </c>
      <c r="AM24" s="128">
        <v>0</v>
      </c>
      <c r="AN24" s="66">
        <f t="shared" si="11"/>
        <v>46229</v>
      </c>
      <c r="AO24" s="71"/>
    </row>
    <row r="25" spans="1:41" s="68" customFormat="1" x14ac:dyDescent="0.35">
      <c r="A25" s="28">
        <v>19</v>
      </c>
      <c r="B25" s="143" t="s">
        <v>190</v>
      </c>
      <c r="C25" s="165" t="s">
        <v>190</v>
      </c>
      <c r="D25" s="40" t="s">
        <v>266</v>
      </c>
      <c r="E25" s="17" t="s">
        <v>332</v>
      </c>
      <c r="F25" s="36">
        <v>35387</v>
      </c>
      <c r="G25" s="40" t="s">
        <v>331</v>
      </c>
      <c r="H25" s="17">
        <v>1900</v>
      </c>
      <c r="I25" s="17"/>
      <c r="J25" s="149">
        <v>46139</v>
      </c>
      <c r="K25" s="36"/>
      <c r="L25" s="26" t="s">
        <v>123</v>
      </c>
      <c r="M25" s="26" t="s">
        <v>27</v>
      </c>
      <c r="N25" s="26" t="s">
        <v>27</v>
      </c>
      <c r="O25" s="40"/>
      <c r="P25" s="40"/>
      <c r="Q25" s="40" t="s">
        <v>226</v>
      </c>
      <c r="R25" s="40" t="s">
        <v>226</v>
      </c>
      <c r="S25" s="145">
        <v>4</v>
      </c>
      <c r="T25" s="140">
        <v>4</v>
      </c>
      <c r="U25" s="28">
        <v>16870</v>
      </c>
      <c r="V25" s="28">
        <v>3130</v>
      </c>
      <c r="W25" s="28">
        <v>0</v>
      </c>
      <c r="X25" s="37">
        <v>0</v>
      </c>
      <c r="Y25" s="28">
        <f t="shared" si="0"/>
        <v>20000</v>
      </c>
      <c r="Z25" s="28">
        <f t="shared" si="1"/>
        <v>20000</v>
      </c>
      <c r="AA25" s="76">
        <f t="shared" si="2"/>
        <v>2249</v>
      </c>
      <c r="AB25" s="76">
        <f t="shared" si="3"/>
        <v>417</v>
      </c>
      <c r="AC25" s="76">
        <f t="shared" si="4"/>
        <v>0</v>
      </c>
      <c r="AD25" s="76">
        <f t="shared" si="5"/>
        <v>0</v>
      </c>
      <c r="AE25" s="76">
        <f t="shared" si="6"/>
        <v>2666</v>
      </c>
      <c r="AF25" s="17">
        <f>ROUND(IF(U25&gt;15000,(15000/$A$3*T25)*12%,AA25*12%)*1,0)</f>
        <v>240</v>
      </c>
      <c r="AG25" s="76">
        <f t="shared" si="10"/>
        <v>20</v>
      </c>
      <c r="AH25" s="78">
        <v>0</v>
      </c>
      <c r="AI25" s="11">
        <v>0</v>
      </c>
      <c r="AJ25" s="76">
        <f t="shared" si="7"/>
        <v>260</v>
      </c>
      <c r="AK25" s="92">
        <f t="shared" si="8"/>
        <v>2406</v>
      </c>
      <c r="AL25" s="128">
        <v>0</v>
      </c>
      <c r="AM25" s="128">
        <v>0</v>
      </c>
      <c r="AN25" s="66">
        <f t="shared" si="11"/>
        <v>46229</v>
      </c>
      <c r="AO25" s="71"/>
    </row>
    <row r="26" spans="1:41" s="68" customFormat="1" x14ac:dyDescent="0.35">
      <c r="A26" s="28">
        <v>20</v>
      </c>
      <c r="B26" s="143" t="s">
        <v>27</v>
      </c>
      <c r="C26" s="165" t="s">
        <v>190</v>
      </c>
      <c r="D26" s="40" t="s">
        <v>267</v>
      </c>
      <c r="E26" s="17" t="s">
        <v>334</v>
      </c>
      <c r="F26" s="36">
        <v>37047</v>
      </c>
      <c r="G26" s="40" t="s">
        <v>333</v>
      </c>
      <c r="H26" s="17">
        <v>1906</v>
      </c>
      <c r="I26" s="17"/>
      <c r="J26" s="149">
        <v>46139</v>
      </c>
      <c r="K26" s="36"/>
      <c r="L26" s="26" t="s">
        <v>123</v>
      </c>
      <c r="M26" s="26" t="s">
        <v>27</v>
      </c>
      <c r="N26" s="26" t="s">
        <v>27</v>
      </c>
      <c r="O26" s="40"/>
      <c r="P26" s="40"/>
      <c r="Q26" s="40" t="s">
        <v>226</v>
      </c>
      <c r="R26" s="40" t="s">
        <v>226</v>
      </c>
      <c r="S26" s="145">
        <v>4</v>
      </c>
      <c r="T26" s="140">
        <v>4</v>
      </c>
      <c r="U26" s="28">
        <v>16870</v>
      </c>
      <c r="V26" s="28">
        <v>1130</v>
      </c>
      <c r="W26" s="28">
        <v>0</v>
      </c>
      <c r="X26" s="37">
        <v>0</v>
      </c>
      <c r="Y26" s="28">
        <f t="shared" si="0"/>
        <v>18000</v>
      </c>
      <c r="Z26" s="28">
        <f t="shared" si="1"/>
        <v>18000</v>
      </c>
      <c r="AA26" s="76">
        <f t="shared" si="2"/>
        <v>2249</v>
      </c>
      <c r="AB26" s="76">
        <f t="shared" si="3"/>
        <v>151</v>
      </c>
      <c r="AC26" s="76">
        <f t="shared" si="4"/>
        <v>0</v>
      </c>
      <c r="AD26" s="76">
        <f t="shared" si="5"/>
        <v>0</v>
      </c>
      <c r="AE26" s="76">
        <f t="shared" si="6"/>
        <v>2400</v>
      </c>
      <c r="AF26" s="17">
        <v>0</v>
      </c>
      <c r="AG26" s="76">
        <f t="shared" si="10"/>
        <v>18</v>
      </c>
      <c r="AH26" s="78">
        <v>0</v>
      </c>
      <c r="AI26" s="11">
        <v>0</v>
      </c>
      <c r="AJ26" s="76">
        <f t="shared" si="7"/>
        <v>18</v>
      </c>
      <c r="AK26" s="92">
        <f t="shared" si="8"/>
        <v>2382</v>
      </c>
      <c r="AL26" s="128">
        <v>0</v>
      </c>
      <c r="AM26" s="128">
        <v>0</v>
      </c>
      <c r="AN26" s="66">
        <f t="shared" si="11"/>
        <v>46229</v>
      </c>
      <c r="AO26" s="71"/>
    </row>
    <row r="27" spans="1:41" s="68" customFormat="1" x14ac:dyDescent="0.35">
      <c r="A27" s="28">
        <v>21</v>
      </c>
      <c r="B27" s="169" t="s">
        <v>190</v>
      </c>
      <c r="C27" s="170" t="s">
        <v>190</v>
      </c>
      <c r="D27" s="171" t="s">
        <v>335</v>
      </c>
      <c r="E27" s="27" t="s">
        <v>343</v>
      </c>
      <c r="F27" s="29">
        <v>38694</v>
      </c>
      <c r="G27" s="33" t="s">
        <v>342</v>
      </c>
      <c r="H27" s="28">
        <v>1921</v>
      </c>
      <c r="I27" s="17"/>
      <c r="J27" s="36">
        <v>46141</v>
      </c>
      <c r="K27" s="36">
        <v>46141</v>
      </c>
      <c r="L27" s="36"/>
      <c r="M27" s="36"/>
      <c r="N27" s="36"/>
      <c r="O27" s="40"/>
      <c r="P27" s="40"/>
      <c r="Q27" s="40"/>
      <c r="R27" s="40"/>
      <c r="S27" s="40"/>
      <c r="T27" s="140">
        <v>2</v>
      </c>
      <c r="U27" s="28">
        <f t="shared" ref="U27:U28" si="15">16870+130</f>
        <v>17000</v>
      </c>
      <c r="V27" s="28">
        <f t="shared" ref="V27:V28" si="16">130-130</f>
        <v>0</v>
      </c>
      <c r="W27" s="28">
        <v>0</v>
      </c>
      <c r="X27" s="37">
        <v>0</v>
      </c>
      <c r="Y27" s="28">
        <f t="shared" si="0"/>
        <v>17000</v>
      </c>
      <c r="Z27" s="28">
        <f t="shared" si="1"/>
        <v>17000</v>
      </c>
      <c r="AA27" s="76">
        <f t="shared" ref="AA27:AA30" si="17">ROUND(U27/$A$3*T27,0)</f>
        <v>1133</v>
      </c>
      <c r="AB27" s="76">
        <f t="shared" ref="AB27:AB30" si="18">ROUND(V27/$A$3*T27,0)</f>
        <v>0</v>
      </c>
      <c r="AC27" s="76">
        <f t="shared" ref="AC27:AC30" si="19">ROUND(W27/$A$3*T27,0)</f>
        <v>0</v>
      </c>
      <c r="AD27" s="76">
        <f t="shared" ref="AD27:AD30" si="20">ROUND(X27/$A$3*T27,0)</f>
        <v>0</v>
      </c>
      <c r="AE27" s="76">
        <f t="shared" si="6"/>
        <v>1133</v>
      </c>
      <c r="AF27" s="17">
        <f t="shared" ref="AF27:AF29" si="21">ROUND(IF(U27&gt;15000,(15000/$A$3*T27)*12%,AA27*12%)*1,0)</f>
        <v>120</v>
      </c>
      <c r="AG27" s="76">
        <f t="shared" ref="AG27:AG30" si="22">ROUNDUP(AE27*0.75%,0)</f>
        <v>9</v>
      </c>
      <c r="AH27" s="78">
        <v>0</v>
      </c>
      <c r="AI27" s="11">
        <v>0</v>
      </c>
      <c r="AJ27" s="76">
        <f t="shared" ref="AJ27:AJ30" si="23">AF27+AG27+AH27+AI27</f>
        <v>129</v>
      </c>
      <c r="AK27" s="92">
        <f t="shared" ref="AK27:AK30" si="24">AE27-AJ27</f>
        <v>1004</v>
      </c>
      <c r="AL27" s="128">
        <v>0</v>
      </c>
      <c r="AM27" s="128">
        <v>0</v>
      </c>
      <c r="AN27" s="66">
        <f t="shared" si="11"/>
        <v>46231</v>
      </c>
      <c r="AO27" s="71"/>
    </row>
    <row r="28" spans="1:41" s="68" customFormat="1" x14ac:dyDescent="0.35">
      <c r="A28" s="28">
        <v>22</v>
      </c>
      <c r="B28" s="169" t="s">
        <v>190</v>
      </c>
      <c r="C28" s="170" t="s">
        <v>190</v>
      </c>
      <c r="D28" s="171" t="s">
        <v>336</v>
      </c>
      <c r="E28" s="27" t="s">
        <v>340</v>
      </c>
      <c r="F28" s="29">
        <v>38134</v>
      </c>
      <c r="G28" s="33" t="s">
        <v>341</v>
      </c>
      <c r="H28" s="28">
        <v>1922</v>
      </c>
      <c r="I28" s="17"/>
      <c r="J28" s="36">
        <v>46141</v>
      </c>
      <c r="K28" s="36">
        <v>46141</v>
      </c>
      <c r="L28" s="36"/>
      <c r="M28" s="36"/>
      <c r="N28" s="36"/>
      <c r="O28" s="40"/>
      <c r="P28" s="40"/>
      <c r="Q28" s="40"/>
      <c r="R28" s="40"/>
      <c r="S28" s="40"/>
      <c r="T28" s="140">
        <v>2</v>
      </c>
      <c r="U28" s="28">
        <f t="shared" si="15"/>
        <v>17000</v>
      </c>
      <c r="V28" s="28">
        <f t="shared" si="16"/>
        <v>0</v>
      </c>
      <c r="W28" s="28">
        <v>0</v>
      </c>
      <c r="X28" s="37">
        <v>0</v>
      </c>
      <c r="Y28" s="28">
        <f t="shared" si="0"/>
        <v>17000</v>
      </c>
      <c r="Z28" s="28">
        <f t="shared" si="1"/>
        <v>17000</v>
      </c>
      <c r="AA28" s="76">
        <f t="shared" si="17"/>
        <v>1133</v>
      </c>
      <c r="AB28" s="76">
        <f t="shared" si="18"/>
        <v>0</v>
      </c>
      <c r="AC28" s="76">
        <f t="shared" si="19"/>
        <v>0</v>
      </c>
      <c r="AD28" s="76">
        <f t="shared" si="20"/>
        <v>0</v>
      </c>
      <c r="AE28" s="76">
        <f t="shared" si="6"/>
        <v>1133</v>
      </c>
      <c r="AF28" s="17">
        <f t="shared" si="21"/>
        <v>120</v>
      </c>
      <c r="AG28" s="76">
        <f t="shared" si="22"/>
        <v>9</v>
      </c>
      <c r="AH28" s="78">
        <v>0</v>
      </c>
      <c r="AI28" s="11">
        <v>0</v>
      </c>
      <c r="AJ28" s="76">
        <f t="shared" si="23"/>
        <v>129</v>
      </c>
      <c r="AK28" s="92">
        <f t="shared" si="24"/>
        <v>1004</v>
      </c>
      <c r="AL28" s="128">
        <v>0</v>
      </c>
      <c r="AM28" s="128">
        <v>0</v>
      </c>
      <c r="AN28" s="66">
        <f t="shared" si="11"/>
        <v>46231</v>
      </c>
      <c r="AO28" s="71"/>
    </row>
    <row r="29" spans="1:41" s="68" customFormat="1" x14ac:dyDescent="0.35">
      <c r="A29" s="28">
        <v>23</v>
      </c>
      <c r="B29" s="169" t="s">
        <v>190</v>
      </c>
      <c r="C29" s="170" t="s">
        <v>190</v>
      </c>
      <c r="D29" s="171" t="s">
        <v>337</v>
      </c>
      <c r="E29" s="27" t="s">
        <v>344</v>
      </c>
      <c r="F29" s="29">
        <v>38292</v>
      </c>
      <c r="G29" s="33" t="s">
        <v>345</v>
      </c>
      <c r="H29" s="28" t="s">
        <v>339</v>
      </c>
      <c r="I29" s="17"/>
      <c r="J29" s="36">
        <v>46141</v>
      </c>
      <c r="K29" s="36">
        <v>46141</v>
      </c>
      <c r="L29" s="36"/>
      <c r="M29" s="36"/>
      <c r="N29" s="36"/>
      <c r="O29" s="40"/>
      <c r="P29" s="40"/>
      <c r="Q29" s="40"/>
      <c r="R29" s="40"/>
      <c r="S29" s="40"/>
      <c r="T29" s="140">
        <v>2</v>
      </c>
      <c r="U29" s="28">
        <v>16870</v>
      </c>
      <c r="V29" s="28">
        <v>1130</v>
      </c>
      <c r="W29" s="28">
        <v>0</v>
      </c>
      <c r="X29" s="37">
        <v>0</v>
      </c>
      <c r="Y29" s="28">
        <f t="shared" si="0"/>
        <v>18000</v>
      </c>
      <c r="Z29" s="28">
        <f t="shared" si="1"/>
        <v>18000</v>
      </c>
      <c r="AA29" s="76">
        <f t="shared" si="17"/>
        <v>1125</v>
      </c>
      <c r="AB29" s="76">
        <f t="shared" si="18"/>
        <v>75</v>
      </c>
      <c r="AC29" s="76">
        <f t="shared" si="19"/>
        <v>0</v>
      </c>
      <c r="AD29" s="76">
        <f t="shared" si="20"/>
        <v>0</v>
      </c>
      <c r="AE29" s="76">
        <f t="shared" si="6"/>
        <v>1200</v>
      </c>
      <c r="AF29" s="17">
        <f t="shared" si="21"/>
        <v>120</v>
      </c>
      <c r="AG29" s="76">
        <f t="shared" si="22"/>
        <v>9</v>
      </c>
      <c r="AH29" s="78">
        <v>0</v>
      </c>
      <c r="AI29" s="11">
        <v>0</v>
      </c>
      <c r="AJ29" s="76">
        <f t="shared" si="23"/>
        <v>129</v>
      </c>
      <c r="AK29" s="92">
        <f t="shared" si="24"/>
        <v>1071</v>
      </c>
      <c r="AL29" s="128">
        <v>0</v>
      </c>
      <c r="AM29" s="128">
        <v>0</v>
      </c>
      <c r="AN29" s="66">
        <f t="shared" si="11"/>
        <v>46231</v>
      </c>
      <c r="AO29" s="71"/>
    </row>
    <row r="30" spans="1:41" s="68" customFormat="1" x14ac:dyDescent="0.35">
      <c r="A30" s="28">
        <v>24</v>
      </c>
      <c r="B30" s="169" t="s">
        <v>27</v>
      </c>
      <c r="C30" s="170" t="s">
        <v>190</v>
      </c>
      <c r="D30" s="171" t="s">
        <v>338</v>
      </c>
      <c r="E30" s="27" t="s">
        <v>347</v>
      </c>
      <c r="F30" s="29">
        <v>45017</v>
      </c>
      <c r="G30" s="33" t="s">
        <v>346</v>
      </c>
      <c r="H30" s="28">
        <v>1923</v>
      </c>
      <c r="I30" s="17"/>
      <c r="J30" s="36">
        <v>46141</v>
      </c>
      <c r="K30" s="36">
        <v>46141</v>
      </c>
      <c r="L30" s="36"/>
      <c r="M30" s="36"/>
      <c r="N30" s="36"/>
      <c r="O30" s="40"/>
      <c r="P30" s="40"/>
      <c r="Q30" s="40"/>
      <c r="R30" s="40"/>
      <c r="S30" s="40"/>
      <c r="T30" s="140">
        <v>2</v>
      </c>
      <c r="U30" s="28">
        <v>16870</v>
      </c>
      <c r="V30" s="28">
        <v>3130</v>
      </c>
      <c r="W30" s="28">
        <v>0</v>
      </c>
      <c r="X30" s="37">
        <v>0</v>
      </c>
      <c r="Y30" s="28">
        <f t="shared" si="0"/>
        <v>20000</v>
      </c>
      <c r="Z30" s="28">
        <f t="shared" si="1"/>
        <v>20000</v>
      </c>
      <c r="AA30" s="76">
        <f t="shared" si="17"/>
        <v>1125</v>
      </c>
      <c r="AB30" s="76">
        <f t="shared" si="18"/>
        <v>209</v>
      </c>
      <c r="AC30" s="76">
        <f t="shared" si="19"/>
        <v>0</v>
      </c>
      <c r="AD30" s="76">
        <f t="shared" si="20"/>
        <v>0</v>
      </c>
      <c r="AE30" s="76">
        <f t="shared" si="6"/>
        <v>1334</v>
      </c>
      <c r="AF30" s="17">
        <v>0</v>
      </c>
      <c r="AG30" s="76">
        <f t="shared" si="22"/>
        <v>11</v>
      </c>
      <c r="AH30" s="78">
        <v>0</v>
      </c>
      <c r="AI30" s="11">
        <v>0</v>
      </c>
      <c r="AJ30" s="76">
        <f t="shared" si="23"/>
        <v>11</v>
      </c>
      <c r="AK30" s="92">
        <f t="shared" si="24"/>
        <v>1323</v>
      </c>
      <c r="AL30" s="128">
        <v>0</v>
      </c>
      <c r="AM30" s="128">
        <v>0</v>
      </c>
      <c r="AN30" s="66">
        <f t="shared" si="11"/>
        <v>46231</v>
      </c>
      <c r="AO30" s="71"/>
    </row>
    <row r="31" spans="1:41" s="31" customFormat="1" ht="18.600000000000001" thickBot="1" x14ac:dyDescent="0.35">
      <c r="A31" s="18"/>
      <c r="B31" s="76"/>
      <c r="C31" s="88"/>
      <c r="D31" s="27"/>
      <c r="E31" s="27"/>
      <c r="F31" s="29"/>
      <c r="G31" s="33"/>
      <c r="H31" s="28"/>
      <c r="I31" s="17"/>
      <c r="J31" s="36"/>
      <c r="K31" s="36"/>
      <c r="L31" s="36"/>
      <c r="M31" s="36"/>
      <c r="N31" s="36"/>
      <c r="O31" s="40"/>
      <c r="P31" s="40"/>
      <c r="Q31" s="40"/>
      <c r="R31" s="40"/>
      <c r="S31" s="40"/>
      <c r="T31" s="95"/>
      <c r="U31" s="28"/>
      <c r="V31" s="28"/>
      <c r="W31" s="28"/>
      <c r="X31" s="37"/>
      <c r="Y31" s="41"/>
      <c r="Z31" s="41"/>
      <c r="AA31" s="42"/>
      <c r="AB31" s="42"/>
      <c r="AC31" s="42"/>
      <c r="AD31" s="42"/>
      <c r="AE31" s="43"/>
      <c r="AF31" s="34"/>
      <c r="AG31" s="42"/>
      <c r="AH31" s="44"/>
      <c r="AI31" s="41"/>
      <c r="AJ31" s="43"/>
      <c r="AK31" s="45"/>
      <c r="AL31" s="17"/>
      <c r="AM31" s="17"/>
      <c r="AN31" s="94"/>
      <c r="AO31" s="52"/>
    </row>
    <row r="32" spans="1:41" ht="18.600000000000001" thickBot="1" x14ac:dyDescent="0.4">
      <c r="A32" s="2"/>
      <c r="B32" s="2"/>
      <c r="C32" s="2"/>
      <c r="E32" s="21"/>
      <c r="F32" s="35"/>
      <c r="G32" s="2"/>
      <c r="H32" s="21"/>
      <c r="I32" s="21"/>
      <c r="J32" s="21"/>
      <c r="K32" s="61"/>
      <c r="L32" s="21"/>
      <c r="M32" s="21"/>
      <c r="N32" s="21"/>
      <c r="O32" s="21"/>
      <c r="P32" s="21"/>
      <c r="Q32" s="21"/>
      <c r="R32" s="21"/>
      <c r="S32" s="21"/>
      <c r="T32" s="2"/>
      <c r="U32" s="21"/>
      <c r="V32" s="21"/>
      <c r="W32" s="21"/>
      <c r="X32" s="21"/>
      <c r="Y32" s="46" t="s">
        <v>62</v>
      </c>
      <c r="Z32" s="47">
        <f t="shared" ref="Z32:AK32" si="25">SUM(Z7:Z31)</f>
        <v>537630</v>
      </c>
      <c r="AA32" s="47">
        <f t="shared" si="25"/>
        <v>237864</v>
      </c>
      <c r="AB32" s="47">
        <f t="shared" si="25"/>
        <v>61508</v>
      </c>
      <c r="AC32" s="47">
        <f t="shared" si="25"/>
        <v>12000</v>
      </c>
      <c r="AD32" s="47">
        <f t="shared" si="25"/>
        <v>0</v>
      </c>
      <c r="AE32" s="47">
        <f t="shared" si="25"/>
        <v>311372</v>
      </c>
      <c r="AF32" s="47">
        <f t="shared" si="25"/>
        <v>18360</v>
      </c>
      <c r="AG32" s="47">
        <f t="shared" si="25"/>
        <v>1443</v>
      </c>
      <c r="AH32" s="47">
        <f t="shared" si="25"/>
        <v>0</v>
      </c>
      <c r="AI32" s="47">
        <f t="shared" si="25"/>
        <v>0</v>
      </c>
      <c r="AJ32" s="47">
        <f t="shared" si="25"/>
        <v>19803</v>
      </c>
      <c r="AK32" s="48">
        <f t="shared" si="25"/>
        <v>291569</v>
      </c>
      <c r="AN32" s="2"/>
      <c r="AO32" s="49"/>
    </row>
  </sheetData>
  <autoFilter ref="A6:AS6"/>
  <mergeCells count="14">
    <mergeCell ref="AN4:AN5"/>
    <mergeCell ref="AO4:AO5"/>
    <mergeCell ref="J4:J5"/>
    <mergeCell ref="O4:O5"/>
    <mergeCell ref="P4:P5"/>
    <mergeCell ref="AF4:AI4"/>
    <mergeCell ref="AL4:AL5"/>
    <mergeCell ref="AM4:AM5"/>
    <mergeCell ref="F4:F5"/>
    <mergeCell ref="A4:A5"/>
    <mergeCell ref="B4:B5"/>
    <mergeCell ref="C4:C5"/>
    <mergeCell ref="D4:D5"/>
    <mergeCell ref="E4:E5"/>
  </mergeCells>
  <conditionalFormatting sqref="D32:D1048576 D1:D26">
    <cfRule type="duplicateValues" dxfId="1" priority="5"/>
  </conditionalFormatting>
  <conditionalFormatting sqref="D32:D1048576 H1:H1048576 D1:D26">
    <cfRule type="duplicateValues" dxfId="0" priority="1"/>
  </conditionalFormatting>
  <pageMargins left="0.7" right="0.7" top="0.75" bottom="0.75" header="0.3" footer="0.3"/>
  <pageSetup paperSize="9" scale="38" orientation="landscape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AGRA</vt:lpstr>
      <vt:lpstr>JAIPUR BRANCH</vt:lpstr>
      <vt:lpstr>NOIDA BRANCH</vt:lpstr>
      <vt:lpstr>AGRA!Print_Area</vt:lpstr>
      <vt:lpstr>'JAIPUR BRANCH'!Print_Area</vt:lpstr>
      <vt:lpstr>'NOIDA BRANCH'!Print_Area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Jain</dc:creator>
  <cp:lastModifiedBy>User</cp:lastModifiedBy>
  <cp:lastPrinted>2025-08-06T13:06:04Z</cp:lastPrinted>
  <dcterms:created xsi:type="dcterms:W3CDTF">2024-06-12T10:01:26Z</dcterms:created>
  <dcterms:modified xsi:type="dcterms:W3CDTF">2026-05-27T15:19:21Z</dcterms:modified>
</cp:coreProperties>
</file>