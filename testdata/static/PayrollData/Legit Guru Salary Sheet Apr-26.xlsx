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Tekinspirations\HRlens_Playwright\testdata\static\PayrollData\"/>
    </mc:Choice>
  </mc:AlternateContent>
  <bookViews>
    <workbookView xWindow="0" yWindow="0" windowWidth="23040" windowHeight="10332"/>
  </bookViews>
  <sheets>
    <sheet name="APR-26" sheetId="2" r:id="rId1"/>
  </sheets>
  <definedNames>
    <definedName name="_xlnm._FilterDatabase" localSheetId="0" hidden="1">'APR-26'!$A$6:$AV$6</definedName>
    <definedName name="_xlnm.Print_Area" localSheetId="0">'APR-26'!$A$1:$AF$6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" i="2" l="1"/>
  <c r="X7" i="2"/>
  <c r="W8" i="2"/>
  <c r="X8" i="2"/>
  <c r="W9" i="2"/>
  <c r="X9" i="2"/>
  <c r="W10" i="2"/>
  <c r="X10" i="2"/>
  <c r="U11" i="2"/>
  <c r="W11" i="2"/>
  <c r="X11" i="2"/>
  <c r="W12" i="2"/>
  <c r="X12" i="2"/>
  <c r="U14" i="2"/>
  <c r="V14" i="2"/>
  <c r="W14" i="2"/>
  <c r="X14" i="2"/>
  <c r="U15" i="2"/>
  <c r="V15" i="2"/>
  <c r="W15" i="2"/>
  <c r="X15" i="2"/>
  <c r="W16" i="2"/>
  <c r="X16" i="2"/>
  <c r="W17" i="2"/>
  <c r="X17" i="2"/>
  <c r="W18" i="2"/>
  <c r="X18" i="2"/>
  <c r="W19" i="2"/>
  <c r="X19" i="2"/>
  <c r="V20" i="2"/>
  <c r="W20" i="2"/>
  <c r="X20" i="2"/>
  <c r="O7" i="2"/>
  <c r="U7" i="2" s="1"/>
  <c r="P7" i="2"/>
  <c r="V7" i="2" s="1"/>
  <c r="O8" i="2"/>
  <c r="P8" i="2"/>
  <c r="V8" i="2" s="1"/>
  <c r="O9" i="2"/>
  <c r="U9" i="2" s="1"/>
  <c r="P9" i="2"/>
  <c r="V9" i="2" s="1"/>
  <c r="O10" i="2"/>
  <c r="U10" i="2" s="1"/>
  <c r="P10" i="2"/>
  <c r="V10" i="2" s="1"/>
  <c r="O11" i="2"/>
  <c r="P11" i="2"/>
  <c r="V11" i="2" s="1"/>
  <c r="O12" i="2"/>
  <c r="U12" i="2" s="1"/>
  <c r="P12" i="2"/>
  <c r="V12" i="2" s="1"/>
  <c r="S12" i="2"/>
  <c r="T12" i="2" s="1"/>
  <c r="O13" i="2"/>
  <c r="P13" i="2"/>
  <c r="S14" i="2"/>
  <c r="T14" i="2" s="1"/>
  <c r="S15" i="2"/>
  <c r="T15" i="2"/>
  <c r="O16" i="2"/>
  <c r="U16" i="2" s="1"/>
  <c r="P16" i="2"/>
  <c r="V16" i="2" s="1"/>
  <c r="O17" i="2"/>
  <c r="U17" i="2" s="1"/>
  <c r="P17" i="2"/>
  <c r="V17" i="2" s="1"/>
  <c r="O18" i="2"/>
  <c r="U18" i="2" s="1"/>
  <c r="P18" i="2"/>
  <c r="V18" i="2" s="1"/>
  <c r="O19" i="2"/>
  <c r="U19" i="2" s="1"/>
  <c r="P19" i="2"/>
  <c r="V19" i="2" s="1"/>
  <c r="S19" i="2"/>
  <c r="T19" i="2" s="1"/>
  <c r="O20" i="2"/>
  <c r="S20" i="2" s="1"/>
  <c r="T20" i="2" s="1"/>
  <c r="S10" i="2" l="1"/>
  <c r="T10" i="2" s="1"/>
  <c r="U20" i="2"/>
  <c r="S8" i="2"/>
  <c r="T8" i="2" s="1"/>
  <c r="S17" i="2"/>
  <c r="T17" i="2" s="1"/>
  <c r="S13" i="2"/>
  <c r="T13" i="2" s="1"/>
  <c r="U8" i="2"/>
  <c r="S16" i="2"/>
  <c r="T16" i="2" s="1"/>
  <c r="S7" i="2"/>
  <c r="T7" i="2" s="1"/>
  <c r="S18" i="2"/>
  <c r="T18" i="2" s="1"/>
  <c r="S9" i="2"/>
  <c r="T9" i="2" s="1"/>
  <c r="S11" i="2"/>
  <c r="T11" i="2" s="1"/>
  <c r="N13" i="2"/>
  <c r="W13" i="2" l="1"/>
  <c r="W21" i="2" s="1"/>
  <c r="U13" i="2"/>
  <c r="U21" i="2" s="1"/>
  <c r="V13" i="2"/>
  <c r="V21" i="2" s="1"/>
  <c r="X13" i="2"/>
  <c r="X21" i="2" s="1"/>
  <c r="T21" i="2"/>
  <c r="AD21" i="2"/>
  <c r="AC21" i="2"/>
  <c r="AA20" i="2"/>
  <c r="Y20" i="2" l="1"/>
  <c r="AB20" i="2" l="1"/>
  <c r="AE20" i="2" s="1"/>
  <c r="AF20" i="2" s="1"/>
  <c r="Z18" i="2" l="1"/>
  <c r="AA18" i="2" s="1"/>
  <c r="Y18" i="2" l="1"/>
  <c r="AB18" i="2" s="1"/>
  <c r="AE18" i="2" s="1"/>
  <c r="AF18" i="2" s="1"/>
  <c r="Y19" i="2"/>
  <c r="AB19" i="2" s="1"/>
  <c r="AE19" i="2" s="1"/>
  <c r="AF19" i="2" s="1"/>
  <c r="AA19" i="2"/>
  <c r="AA17" i="2" l="1"/>
  <c r="AA16" i="2"/>
  <c r="Z15" i="2"/>
  <c r="AA15" i="2" s="1"/>
  <c r="Z14" i="2"/>
  <c r="AA13" i="2"/>
  <c r="AA8" i="2"/>
  <c r="Y16" i="2" l="1"/>
  <c r="AB16" i="2" s="1"/>
  <c r="AE16" i="2" s="1"/>
  <c r="AF16" i="2" s="1"/>
  <c r="Y15" i="2"/>
  <c r="Y17" i="2"/>
  <c r="Y14" i="2"/>
  <c r="AB14" i="2" s="1"/>
  <c r="AE14" i="2" s="1"/>
  <c r="AF14" i="2" s="1"/>
  <c r="Z12" i="2"/>
  <c r="AA12" i="2" s="1"/>
  <c r="Y11" i="2"/>
  <c r="Z11" i="2"/>
  <c r="AA11" i="2" s="1"/>
  <c r="Y10" i="2"/>
  <c r="Z10" i="2"/>
  <c r="AA10" i="2" s="1"/>
  <c r="Y9" i="2"/>
  <c r="Z9" i="2"/>
  <c r="AA9" i="2" s="1"/>
  <c r="Y8" i="2"/>
  <c r="AE8" i="2" s="1"/>
  <c r="AA14" i="2"/>
  <c r="Y7" i="2" l="1"/>
  <c r="AB15" i="2"/>
  <c r="AE15" i="2" s="1"/>
  <c r="AF15" i="2" s="1"/>
  <c r="AE10" i="2"/>
  <c r="AF10" i="2" s="1"/>
  <c r="Y12" i="2"/>
  <c r="AE12" i="2" s="1"/>
  <c r="AF12" i="2" s="1"/>
  <c r="AF8" i="2"/>
  <c r="AB17" i="2"/>
  <c r="AE17" i="2" s="1"/>
  <c r="AF17" i="2" s="1"/>
  <c r="Y13" i="2"/>
  <c r="AE13" i="2" s="1"/>
  <c r="AF13" i="2" s="1"/>
  <c r="AE9" i="2"/>
  <c r="AF9" i="2" s="1"/>
  <c r="AE11" i="2"/>
  <c r="AF11" i="2" s="1"/>
  <c r="Z7" i="2"/>
  <c r="AA7" i="2" l="1"/>
  <c r="AA21" i="2" s="1"/>
  <c r="Z21" i="2"/>
  <c r="AB21" i="2"/>
  <c r="Y21" i="2"/>
  <c r="AE7" i="2" l="1"/>
  <c r="AE21" i="2" s="1"/>
  <c r="AF7" i="2" l="1"/>
  <c r="AF21" i="2" s="1"/>
</calcChain>
</file>

<file path=xl/comments1.xml><?xml version="1.0" encoding="utf-8"?>
<comments xmlns="http://schemas.openxmlformats.org/spreadsheetml/2006/main">
  <authors>
    <author>User</author>
  </authors>
  <commentList>
    <comment ref="AG11" authorId="0" shapeId="0">
      <text>
        <r>
          <rPr>
            <b/>
            <sz val="9"/>
            <color indexed="81"/>
            <rFont val="Tahoma"/>
            <family val="2"/>
          </rPr>
          <t xml:space="preserve">Mehul : </t>
        </r>
        <r>
          <rPr>
            <sz val="9"/>
            <color indexed="81"/>
            <rFont val="Tahoma"/>
            <family val="2"/>
          </rPr>
          <t xml:space="preserve">1.5 Days added due to incorrect </t>
        </r>
        <r>
          <rPr>
            <b/>
            <sz val="9"/>
            <color indexed="81"/>
            <rFont val="Tahoma"/>
            <family val="2"/>
          </rPr>
          <t>HD</t>
        </r>
        <r>
          <rPr>
            <sz val="9"/>
            <color indexed="81"/>
            <rFont val="Tahoma"/>
            <family val="2"/>
          </rPr>
          <t xml:space="preserve"> remark on 18, 24 &amp; 29 December-25. 
Clearify on Dt.17.04.26 by Pushpendra.</t>
        </r>
      </text>
    </comment>
    <comment ref="I14" authorId="0" shapeId="0">
      <text>
        <r>
          <rPr>
            <b/>
            <sz val="9"/>
            <color indexed="81"/>
            <rFont val="Tahoma"/>
            <family val="2"/>
          </rPr>
          <t>Acutal Joining Date : 
29-12-2025.</t>
        </r>
      </text>
    </comment>
    <comment ref="I15" authorId="0" shapeId="0">
      <text>
        <r>
          <rPr>
            <b/>
            <sz val="9"/>
            <color indexed="81"/>
            <rFont val="Tahoma"/>
            <family val="2"/>
          </rPr>
          <t>Actual Joining Date : 30-12-2025.</t>
        </r>
      </text>
    </comment>
  </commentList>
</comments>
</file>

<file path=xl/sharedStrings.xml><?xml version="1.0" encoding="utf-8"?>
<sst xmlns="http://schemas.openxmlformats.org/spreadsheetml/2006/main" count="124" uniqueCount="101">
  <si>
    <t>UAN</t>
  </si>
  <si>
    <t>IP NO.</t>
  </si>
  <si>
    <t>Emp. Name</t>
  </si>
  <si>
    <t>PAN</t>
  </si>
  <si>
    <t>DOB</t>
  </si>
  <si>
    <t>Father Name</t>
  </si>
  <si>
    <t>Emp.</t>
  </si>
  <si>
    <t>Total</t>
  </si>
  <si>
    <t>H.R.A.</t>
  </si>
  <si>
    <t>Conv.</t>
  </si>
  <si>
    <t xml:space="preserve">Spcl. </t>
  </si>
  <si>
    <t>DEDUCTIONS</t>
  </si>
  <si>
    <t>TOT.</t>
  </si>
  <si>
    <t xml:space="preserve">Net </t>
  </si>
  <si>
    <t>Reserve Leave</t>
  </si>
  <si>
    <t>Casual Leave</t>
  </si>
  <si>
    <t>Salary</t>
  </si>
  <si>
    <t>Amt.</t>
  </si>
  <si>
    <t>Alw.</t>
  </si>
  <si>
    <t>Employee P.F.</t>
  </si>
  <si>
    <t>Employer P.F.</t>
  </si>
  <si>
    <t>E.S.I.</t>
  </si>
  <si>
    <t>ADV.</t>
  </si>
  <si>
    <t>T.D.S.</t>
  </si>
  <si>
    <t>Ded.</t>
  </si>
  <si>
    <t>Payable</t>
  </si>
  <si>
    <t>NA</t>
  </si>
  <si>
    <t>SR. No.</t>
  </si>
  <si>
    <t>Basic+DA</t>
  </si>
  <si>
    <t>Probation Period Till Date</t>
  </si>
  <si>
    <t>Notes</t>
  </si>
  <si>
    <t>DOJ</t>
  </si>
  <si>
    <t>6724755160</t>
  </si>
  <si>
    <t>MOHIT NAZWANI</t>
  </si>
  <si>
    <t>SHAHID KHAN</t>
  </si>
  <si>
    <t>KUSHANK SINGH</t>
  </si>
  <si>
    <t>PROBJYOT KAUR CHHINA</t>
  </si>
  <si>
    <t>NITIN SINGH</t>
  </si>
  <si>
    <t>ABHISHEK CHAUHAN</t>
  </si>
  <si>
    <t>ASHA RANI</t>
  </si>
  <si>
    <t>23-08-2002</t>
  </si>
  <si>
    <t>05-06-2025</t>
  </si>
  <si>
    <t>MANOJ NAZWANI</t>
  </si>
  <si>
    <t>IQBAL KHAN</t>
  </si>
  <si>
    <t>SATYA PRAKASH SINGH</t>
  </si>
  <si>
    <t>JASTEJ SINGH CHHINA</t>
  </si>
  <si>
    <t xml:space="preserve">MAHESH CHANDRA </t>
  </si>
  <si>
    <t>RADHA KISHAN</t>
  </si>
  <si>
    <t>SUNDER SINGH</t>
  </si>
  <si>
    <t>LEGIT GURU PRIVATE LIMITED</t>
  </si>
  <si>
    <t>TOTAL</t>
  </si>
  <si>
    <t>CLYPN3216Q</t>
  </si>
  <si>
    <t>ITTPK9963C</t>
  </si>
  <si>
    <t>LYEPS0761B</t>
  </si>
  <si>
    <t>CCOPC1118B</t>
  </si>
  <si>
    <t>MXKPS6421G</t>
  </si>
  <si>
    <t>BWXPC2452E</t>
  </si>
  <si>
    <t>ECSPR4957R</t>
  </si>
  <si>
    <t>102191035541</t>
  </si>
  <si>
    <t>RAJ VERMA</t>
  </si>
  <si>
    <t>NAINA GUPTA</t>
  </si>
  <si>
    <t>BANTI SINGH</t>
  </si>
  <si>
    <t>NICKHIL SHARMA</t>
  </si>
  <si>
    <t>CDQPV2170P</t>
  </si>
  <si>
    <t>AMAR SINGH</t>
  </si>
  <si>
    <t>ERHPG1751E</t>
  </si>
  <si>
    <t>SHYAM GUPTA</t>
  </si>
  <si>
    <t>KVIPS4801Q</t>
  </si>
  <si>
    <t>RAJESH KUMAR SINGH</t>
  </si>
  <si>
    <t>MUKESH SHARMA</t>
  </si>
  <si>
    <t>Gross 
Amt.</t>
  </si>
  <si>
    <t>Earn Gross 
Amt.</t>
  </si>
  <si>
    <t>6725361947</t>
  </si>
  <si>
    <t>6725395807</t>
  </si>
  <si>
    <t>102297372084</t>
  </si>
  <si>
    <t>102297371297</t>
  </si>
  <si>
    <t>PREM PAL</t>
  </si>
  <si>
    <t>DIYA CHAUHAN</t>
  </si>
  <si>
    <t>DKFPC7050A</t>
  </si>
  <si>
    <t>KASHIKA SACHDEVA</t>
  </si>
  <si>
    <t>AMIT SACHDEVA</t>
  </si>
  <si>
    <t>LHOPS8984H</t>
  </si>
  <si>
    <t>NO EL-CL for Intern</t>
  </si>
  <si>
    <t>6725437753</t>
  </si>
  <si>
    <t>6725455312</t>
  </si>
  <si>
    <t>102156594706</t>
  </si>
  <si>
    <t>ESIC  
APPOINTMENT DATE</t>
  </si>
  <si>
    <t>RESIGNED AND NEED TO HOLD</t>
  </si>
  <si>
    <t>ABHILASHA SHARMA</t>
  </si>
  <si>
    <t>OLOPS6801N</t>
  </si>
  <si>
    <t>ASHOK KUMAR SHARMA</t>
  </si>
  <si>
    <t>6725556581</t>
  </si>
  <si>
    <t>6725483969</t>
  </si>
  <si>
    <t>6725410770</t>
  </si>
  <si>
    <t>SALARY FOR THE MONTH OF APRIL-2026</t>
  </si>
  <si>
    <t>EL (MAR-26)</t>
  </si>
  <si>
    <t>CL (MAR-26)</t>
  </si>
  <si>
    <t>Actual Working Days in April 26</t>
  </si>
  <si>
    <t>Payable Days</t>
  </si>
  <si>
    <t>6 SL MARK FULL DAY ABSENT</t>
  </si>
  <si>
    <t>hrlenseid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</si>
</sst>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dd\/mm\/yyyy"/>
    <numFmt numFmtId="166" formatCode="[$-409]d/mmm/yyyy;@"/>
    <numFmt numFmtId="167" formatCode="dd/mm/yyyy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165" fontId="0" fillId="0" borderId="0" xfId="0" applyNumberFormat="1" applyAlignment="1">
      <alignment horizontal="center"/>
    </xf>
    <xf numFmtId="1" fontId="6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" fontId="9" fillId="0" borderId="1" xfId="0" quotePrefix="1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/>
    </xf>
    <xf numFmtId="0" fontId="8" fillId="0" borderId="1" xfId="0" applyFont="1" applyBorder="1"/>
    <xf numFmtId="166" fontId="9" fillId="0" borderId="1" xfId="0" applyNumberFormat="1" applyFont="1" applyBorder="1" applyAlignment="1">
      <alignment horizontal="center"/>
    </xf>
    <xf numFmtId="0" fontId="1" fillId="0" borderId="1" xfId="0" applyFont="1" applyBorder="1"/>
    <xf numFmtId="1" fontId="6" fillId="0" borderId="1" xfId="0" applyNumberFormat="1" applyFont="1" applyBorder="1" applyAlignment="1">
      <alignment horizontal="center"/>
    </xf>
    <xf numFmtId="1" fontId="6" fillId="0" borderId="1" xfId="0" quotePrefix="1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67" fontId="0" fillId="0" borderId="1" xfId="0" applyNumberFormat="1" applyBorder="1"/>
    <xf numFmtId="167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13" fillId="0" borderId="1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1" fontId="14" fillId="0" borderId="1" xfId="0" quotePrefix="1" applyNumberFormat="1" applyFont="1" applyBorder="1" applyAlignment="1">
      <alignment horizontal="center"/>
    </xf>
    <xf numFmtId="0" fontId="12" fillId="0" borderId="1" xfId="0" applyFont="1" applyBorder="1"/>
    <xf numFmtId="0" fontId="14" fillId="0" borderId="1" xfId="0" applyFont="1" applyBorder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0" fontId="15" fillId="0" borderId="1" xfId="0" applyFont="1" applyBorder="1"/>
    <xf numFmtId="167" fontId="14" fillId="0" borderId="1" xfId="0" applyNumberFormat="1" applyFont="1" applyBorder="1" applyAlignment="1">
      <alignment horizontal="center"/>
    </xf>
    <xf numFmtId="164" fontId="13" fillId="5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" fontId="14" fillId="3" borderId="1" xfId="0" applyNumberFormat="1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167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0" xfId="0" applyFont="1"/>
    <xf numFmtId="0" fontId="2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164" fontId="1" fillId="5" borderId="1" xfId="0" applyNumberFormat="1" applyFont="1" applyFill="1" applyBorder="1" applyAlignment="1">
      <alignment horizontal="center"/>
    </xf>
    <xf numFmtId="164" fontId="15" fillId="5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J21"/>
  <sheetViews>
    <sheetView tabSelected="1" topLeftCell="G1" zoomScale="90" zoomScaleNormal="90" zoomScaleSheetLayoutView="100" workbookViewId="0">
      <selection activeCell="I1" sqref="I1:I1048576"/>
    </sheetView>
  </sheetViews>
  <sheetFormatPr defaultColWidth="9.33203125" defaultRowHeight="14.4" x14ac:dyDescent="0.3"/>
  <cols>
    <col min="1" max="1" width="8" bestFit="1" customWidth="1"/>
    <col min="2" max="2" width="18.109375" style="9" bestFit="1" customWidth="1"/>
    <col min="3" max="3" width="18.109375" bestFit="1" customWidth="1"/>
    <col min="4" max="4" width="26.44140625" bestFit="1" customWidth="1"/>
    <col min="5" max="5" width="15.33203125" style="1" customWidth="1"/>
    <col min="6" max="6" width="13.44140625" style="10" customWidth="1"/>
    <col min="7" max="7" width="31" customWidth="1"/>
    <col min="8" max="8" width="16.33203125" customWidth="1"/>
    <col min="9" max="9" width="11.5546875" style="1" customWidth="1"/>
    <col min="10" max="10" width="14.6640625" style="1" customWidth="1"/>
    <col min="11" max="11" width="12.44140625" style="1" customWidth="1"/>
    <col min="12" max="12" width="13" style="1" customWidth="1"/>
    <col min="13" max="13" width="13.5546875" style="1" customWidth="1"/>
    <col min="14" max="14" width="8.88671875" style="2" customWidth="1"/>
    <col min="15" max="15" width="9.88671875" style="1" customWidth="1"/>
    <col min="16" max="16" width="7" style="1" customWidth="1"/>
    <col min="17" max="17" width="6.6640625" style="1" customWidth="1"/>
    <col min="18" max="18" width="6.109375" style="1" customWidth="1"/>
    <col min="19" max="19" width="7.88671875" style="1" customWidth="1"/>
    <col min="20" max="20" width="9" style="1" customWidth="1"/>
    <col min="21" max="21" width="9.88671875" style="1" customWidth="1"/>
    <col min="22" max="24" width="9" style="1" customWidth="1"/>
    <col min="25" max="25" width="11.5546875" style="26" customWidth="1"/>
    <col min="26" max="26" width="10.109375" style="1" customWidth="1"/>
    <col min="27" max="27" width="9.44140625" style="1" customWidth="1"/>
    <col min="28" max="28" width="9.109375" style="1" customWidth="1"/>
    <col min="29" max="29" width="7.88671875" style="1" customWidth="1"/>
    <col min="30" max="30" width="6.6640625" style="1" customWidth="1"/>
    <col min="31" max="31" width="9" style="1" customWidth="1"/>
    <col min="32" max="32" width="9.109375" style="1" customWidth="1"/>
    <col min="33" max="33" width="11" style="2" customWidth="1"/>
    <col min="34" max="34" width="11" style="1" customWidth="1"/>
    <col min="35" max="35" width="17" customWidth="1"/>
    <col min="36" max="36" width="36.109375" style="1" customWidth="1"/>
  </cols>
  <sheetData>
    <row r="1" spans="1:36" ht="22.5" customHeight="1" x14ac:dyDescent="0.3">
      <c r="A1" s="46" t="s">
        <v>49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6" ht="15" customHeight="1" x14ac:dyDescent="0.3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13">
        <v>30</v>
      </c>
      <c r="AJ2" s="13"/>
    </row>
    <row r="3" spans="1:36" s="5" customFormat="1" ht="34.5" customHeight="1" x14ac:dyDescent="0.3">
      <c r="A3" s="69" t="s">
        <v>94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9"/>
      <c r="AJ3" s="30"/>
    </row>
    <row r="4" spans="1:36" s="5" customFormat="1" ht="15.6" x14ac:dyDescent="0.25">
      <c r="A4" s="84" t="s">
        <v>27</v>
      </c>
      <c r="B4" s="85" t="s">
        <v>0</v>
      </c>
      <c r="C4" s="84" t="s">
        <v>1</v>
      </c>
      <c r="D4" s="80" t="s">
        <v>2</v>
      </c>
      <c r="E4" s="80" t="s">
        <v>3</v>
      </c>
      <c r="F4" s="79" t="s">
        <v>4</v>
      </c>
      <c r="G4" s="80" t="s">
        <v>5</v>
      </c>
      <c r="H4" s="15" t="s">
        <v>6</v>
      </c>
      <c r="I4" s="81" t="s">
        <v>31</v>
      </c>
      <c r="J4" s="82" t="s">
        <v>86</v>
      </c>
      <c r="K4" s="37"/>
      <c r="L4" s="37"/>
      <c r="M4" s="37"/>
      <c r="N4" s="16" t="s">
        <v>7</v>
      </c>
      <c r="O4" s="15" t="s">
        <v>28</v>
      </c>
      <c r="P4" s="15" t="s">
        <v>8</v>
      </c>
      <c r="Q4" s="17" t="s">
        <v>9</v>
      </c>
      <c r="R4" s="17" t="s">
        <v>10</v>
      </c>
      <c r="S4" s="17"/>
      <c r="T4" s="15" t="s">
        <v>7</v>
      </c>
      <c r="U4" s="15" t="s">
        <v>28</v>
      </c>
      <c r="V4" s="15" t="s">
        <v>8</v>
      </c>
      <c r="W4" s="17" t="s">
        <v>9</v>
      </c>
      <c r="X4" s="17" t="s">
        <v>10</v>
      </c>
      <c r="Y4" s="15" t="s">
        <v>7</v>
      </c>
      <c r="Z4" s="86" t="s">
        <v>11</v>
      </c>
      <c r="AA4" s="86"/>
      <c r="AB4" s="86"/>
      <c r="AC4" s="86"/>
      <c r="AD4" s="86"/>
      <c r="AE4" s="18" t="s">
        <v>12</v>
      </c>
      <c r="AF4" s="18" t="s">
        <v>13</v>
      </c>
      <c r="AG4" s="87" t="s">
        <v>14</v>
      </c>
      <c r="AH4" s="87" t="s">
        <v>15</v>
      </c>
      <c r="AI4" s="87" t="s">
        <v>29</v>
      </c>
      <c r="AJ4" s="87" t="s">
        <v>30</v>
      </c>
    </row>
    <row r="5" spans="1:36" s="5" customFormat="1" ht="43.2" x14ac:dyDescent="0.3">
      <c r="A5" s="84"/>
      <c r="B5" s="85"/>
      <c r="C5" s="84"/>
      <c r="D5" s="80"/>
      <c r="E5" s="80"/>
      <c r="F5" s="79"/>
      <c r="G5" s="80"/>
      <c r="H5" s="15" t="s">
        <v>100</v>
      </c>
      <c r="I5" s="81"/>
      <c r="J5" s="83"/>
      <c r="K5" s="72" t="s">
        <v>95</v>
      </c>
      <c r="L5" s="72" t="s">
        <v>96</v>
      </c>
      <c r="M5" s="72" t="s">
        <v>97</v>
      </c>
      <c r="N5" s="73" t="s">
        <v>98</v>
      </c>
      <c r="O5" s="15" t="s">
        <v>16</v>
      </c>
      <c r="P5" s="15" t="s">
        <v>17</v>
      </c>
      <c r="Q5" s="15" t="s">
        <v>17</v>
      </c>
      <c r="R5" s="15" t="s">
        <v>18</v>
      </c>
      <c r="S5" s="15"/>
      <c r="T5" s="38" t="s">
        <v>70</v>
      </c>
      <c r="U5" s="15" t="s">
        <v>16</v>
      </c>
      <c r="V5" s="15" t="s">
        <v>17</v>
      </c>
      <c r="W5" s="15" t="s">
        <v>17</v>
      </c>
      <c r="X5" s="15" t="s">
        <v>18</v>
      </c>
      <c r="Y5" s="38" t="s">
        <v>71</v>
      </c>
      <c r="Z5" s="19" t="s">
        <v>19</v>
      </c>
      <c r="AA5" s="19" t="s">
        <v>20</v>
      </c>
      <c r="AB5" s="18" t="s">
        <v>21</v>
      </c>
      <c r="AC5" s="18" t="s">
        <v>22</v>
      </c>
      <c r="AD5" s="18" t="s">
        <v>23</v>
      </c>
      <c r="AE5" s="18" t="s">
        <v>24</v>
      </c>
      <c r="AF5" s="18" t="s">
        <v>25</v>
      </c>
      <c r="AG5" s="87"/>
      <c r="AH5" s="87"/>
      <c r="AI5" s="87"/>
      <c r="AJ5" s="87"/>
    </row>
    <row r="6" spans="1:36" ht="16.5" customHeight="1" x14ac:dyDescent="0.3">
      <c r="A6" s="3"/>
      <c r="B6" s="20"/>
      <c r="C6" s="3"/>
      <c r="D6" s="14"/>
      <c r="E6" s="22"/>
      <c r="F6" s="21"/>
      <c r="G6" s="14"/>
      <c r="H6" s="14"/>
      <c r="I6" s="3"/>
      <c r="J6" s="3"/>
      <c r="K6" s="3"/>
      <c r="L6" s="3"/>
      <c r="M6" s="3"/>
      <c r="N6" s="4"/>
      <c r="O6" s="3"/>
      <c r="P6" s="3"/>
      <c r="Q6" s="3"/>
      <c r="R6" s="3"/>
      <c r="S6" s="3"/>
      <c r="T6" s="3"/>
      <c r="U6" s="3"/>
      <c r="V6" s="3"/>
      <c r="W6" s="3"/>
      <c r="X6" s="3"/>
      <c r="Y6" s="25"/>
      <c r="Z6" s="3"/>
      <c r="AA6" s="3"/>
      <c r="AB6" s="3"/>
      <c r="AC6" s="3"/>
      <c r="AD6" s="3"/>
      <c r="AE6" s="3"/>
      <c r="AF6" s="3"/>
      <c r="AG6" s="4"/>
      <c r="AH6" s="4"/>
      <c r="AI6" s="14"/>
      <c r="AJ6" s="3"/>
    </row>
    <row r="7" spans="1:36" ht="15.6" x14ac:dyDescent="0.3">
      <c r="A7" s="3">
        <v>1</v>
      </c>
      <c r="B7" s="35">
        <v>101865542103</v>
      </c>
      <c r="C7" s="27" t="s">
        <v>26</v>
      </c>
      <c r="D7" s="32" t="s">
        <v>33</v>
      </c>
      <c r="E7" s="22" t="s">
        <v>51</v>
      </c>
      <c r="F7" s="33">
        <v>37131</v>
      </c>
      <c r="G7" s="34" t="s">
        <v>42</v>
      </c>
      <c r="H7" s="22">
        <v>170</v>
      </c>
      <c r="I7" s="31">
        <v>45791</v>
      </c>
      <c r="J7" s="77">
        <v>45810</v>
      </c>
      <c r="K7" s="74">
        <v>6.5</v>
      </c>
      <c r="L7" s="74">
        <v>0</v>
      </c>
      <c r="M7" s="74">
        <v>29</v>
      </c>
      <c r="N7" s="70">
        <v>30</v>
      </c>
      <c r="O7" s="25">
        <f>13580+3290</f>
        <v>16870</v>
      </c>
      <c r="P7" s="76">
        <f>9464-3290+616+340</f>
        <v>7130</v>
      </c>
      <c r="Q7" s="25">
        <v>0</v>
      </c>
      <c r="R7" s="3">
        <v>0</v>
      </c>
      <c r="S7" s="23">
        <f t="shared" ref="S7:S17" si="0">O7+P7+Q7+R7</f>
        <v>24000</v>
      </c>
      <c r="T7" s="15">
        <f t="shared" ref="T7:T17" si="1">S7</f>
        <v>24000</v>
      </c>
      <c r="U7" s="7">
        <f t="shared" ref="U7:U20" si="2">ROUND(O7/$AI$2*N7,0)</f>
        <v>16870</v>
      </c>
      <c r="V7" s="7">
        <f t="shared" ref="V7:V20" si="3">ROUND(P7/$AI$2*N7,0)</f>
        <v>7130</v>
      </c>
      <c r="W7" s="7">
        <f t="shared" ref="W7:W20" si="4">ROUND(Q7/$AI$2*N7,0)</f>
        <v>0</v>
      </c>
      <c r="X7" s="7">
        <f t="shared" ref="X7:X20" si="5">R7/$AI$2*N7</f>
        <v>0</v>
      </c>
      <c r="Y7" s="8">
        <f t="shared" ref="Y7:Y20" si="6">U7+V7+W7+X7</f>
        <v>24000</v>
      </c>
      <c r="Z7" s="11">
        <f>ROUND(IF(O7&gt;15000,(15000/$AI$2*N7)*12%,U7*12%)*1,0)</f>
        <v>1800</v>
      </c>
      <c r="AA7" s="12">
        <f t="shared" ref="AA7:AA17" si="7">Z7</f>
        <v>1800</v>
      </c>
      <c r="AB7" s="11">
        <v>0</v>
      </c>
      <c r="AC7" s="7">
        <v>0</v>
      </c>
      <c r="AD7" s="6">
        <v>0</v>
      </c>
      <c r="AE7" s="7">
        <f t="shared" ref="AE7:AE17" si="8">Z7+AB7+AC7+AD7</f>
        <v>1800</v>
      </c>
      <c r="AF7" s="8">
        <f t="shared" ref="AF7:AF17" si="9">Y7-AE7</f>
        <v>22200</v>
      </c>
      <c r="AG7" s="43">
        <v>7</v>
      </c>
      <c r="AH7" s="42">
        <v>0</v>
      </c>
      <c r="AI7" s="14"/>
      <c r="AJ7" s="39"/>
    </row>
    <row r="8" spans="1:36" ht="15.6" x14ac:dyDescent="0.3">
      <c r="A8" s="3">
        <v>2</v>
      </c>
      <c r="B8" s="35" t="s">
        <v>26</v>
      </c>
      <c r="C8" s="27" t="s">
        <v>26</v>
      </c>
      <c r="D8" s="32" t="s">
        <v>34</v>
      </c>
      <c r="E8" s="22" t="s">
        <v>52</v>
      </c>
      <c r="F8" s="33">
        <v>36523</v>
      </c>
      <c r="G8" s="34" t="s">
        <v>43</v>
      </c>
      <c r="H8" s="22">
        <v>171</v>
      </c>
      <c r="I8" s="31">
        <v>45791</v>
      </c>
      <c r="J8" s="77">
        <v>45810</v>
      </c>
      <c r="K8" s="74">
        <v>3.5</v>
      </c>
      <c r="L8" s="74">
        <v>0</v>
      </c>
      <c r="M8" s="74">
        <v>28.5</v>
      </c>
      <c r="N8" s="70">
        <v>30</v>
      </c>
      <c r="O8" s="25">
        <f>15500+1370</f>
        <v>16870</v>
      </c>
      <c r="P8" s="76">
        <f>7250-1370+750</f>
        <v>6630</v>
      </c>
      <c r="Q8" s="25">
        <v>0</v>
      </c>
      <c r="R8" s="3">
        <v>0</v>
      </c>
      <c r="S8" s="23">
        <f t="shared" si="0"/>
        <v>23500</v>
      </c>
      <c r="T8" s="15">
        <f t="shared" si="1"/>
        <v>23500</v>
      </c>
      <c r="U8" s="7">
        <f t="shared" si="2"/>
        <v>16870</v>
      </c>
      <c r="V8" s="7">
        <f t="shared" si="3"/>
        <v>6630</v>
      </c>
      <c r="W8" s="7">
        <f t="shared" si="4"/>
        <v>0</v>
      </c>
      <c r="X8" s="7">
        <f t="shared" si="5"/>
        <v>0</v>
      </c>
      <c r="Y8" s="8">
        <f t="shared" si="6"/>
        <v>23500</v>
      </c>
      <c r="Z8" s="11">
        <v>0</v>
      </c>
      <c r="AA8" s="12">
        <f t="shared" si="7"/>
        <v>0</v>
      </c>
      <c r="AB8" s="11">
        <v>0</v>
      </c>
      <c r="AC8" s="7">
        <v>0</v>
      </c>
      <c r="AD8" s="6">
        <v>0</v>
      </c>
      <c r="AE8" s="7">
        <f t="shared" si="8"/>
        <v>0</v>
      </c>
      <c r="AF8" s="8">
        <f t="shared" si="9"/>
        <v>23500</v>
      </c>
      <c r="AG8" s="43">
        <v>3.5</v>
      </c>
      <c r="AH8" s="42">
        <v>0</v>
      </c>
      <c r="AI8" s="14"/>
      <c r="AJ8" s="39"/>
    </row>
    <row r="9" spans="1:36" ht="15.6" x14ac:dyDescent="0.3">
      <c r="A9" s="3">
        <v>3</v>
      </c>
      <c r="B9" s="35" t="s">
        <v>58</v>
      </c>
      <c r="C9" s="27" t="s">
        <v>26</v>
      </c>
      <c r="D9" s="32" t="s">
        <v>35</v>
      </c>
      <c r="E9" s="22" t="s">
        <v>53</v>
      </c>
      <c r="F9" s="33">
        <v>36472</v>
      </c>
      <c r="G9" s="34" t="s">
        <v>44</v>
      </c>
      <c r="H9" s="22">
        <v>172</v>
      </c>
      <c r="I9" s="31">
        <v>45791</v>
      </c>
      <c r="J9" s="77">
        <v>45810</v>
      </c>
      <c r="K9" s="74">
        <v>0</v>
      </c>
      <c r="L9" s="74">
        <v>0</v>
      </c>
      <c r="M9" s="74">
        <v>28.5</v>
      </c>
      <c r="N9" s="70">
        <v>30</v>
      </c>
      <c r="O9" s="25">
        <f>13580+3290</f>
        <v>16870</v>
      </c>
      <c r="P9" s="76">
        <f>10000-3290+1420</f>
        <v>8130</v>
      </c>
      <c r="Q9" s="25">
        <v>0</v>
      </c>
      <c r="R9" s="3">
        <v>0</v>
      </c>
      <c r="S9" s="23">
        <f t="shared" si="0"/>
        <v>25000</v>
      </c>
      <c r="T9" s="15">
        <f t="shared" si="1"/>
        <v>25000</v>
      </c>
      <c r="U9" s="7">
        <f t="shared" si="2"/>
        <v>16870</v>
      </c>
      <c r="V9" s="7">
        <f t="shared" si="3"/>
        <v>8130</v>
      </c>
      <c r="W9" s="7">
        <f t="shared" si="4"/>
        <v>0</v>
      </c>
      <c r="X9" s="7">
        <f t="shared" si="5"/>
        <v>0</v>
      </c>
      <c r="Y9" s="8">
        <f t="shared" si="6"/>
        <v>25000</v>
      </c>
      <c r="Z9" s="11">
        <f>ROUND(IF(O9&gt;15000,(15000/$AI$2*N9)*12%,U9*12%)*1,0)</f>
        <v>1800</v>
      </c>
      <c r="AA9" s="12">
        <f t="shared" si="7"/>
        <v>1800</v>
      </c>
      <c r="AB9" s="11">
        <v>0</v>
      </c>
      <c r="AC9" s="7">
        <v>0</v>
      </c>
      <c r="AD9" s="6">
        <v>0</v>
      </c>
      <c r="AE9" s="7">
        <f t="shared" si="8"/>
        <v>1800</v>
      </c>
      <c r="AF9" s="8">
        <f t="shared" si="9"/>
        <v>23200</v>
      </c>
      <c r="AG9" s="43">
        <v>0</v>
      </c>
      <c r="AH9" s="42">
        <v>0</v>
      </c>
      <c r="AI9" s="14"/>
      <c r="AJ9" s="39"/>
    </row>
    <row r="10" spans="1:36" ht="15.6" x14ac:dyDescent="0.3">
      <c r="A10" s="3">
        <v>4</v>
      </c>
      <c r="B10" s="35">
        <v>101692451289</v>
      </c>
      <c r="C10" s="27" t="s">
        <v>26</v>
      </c>
      <c r="D10" s="32" t="s">
        <v>36</v>
      </c>
      <c r="E10" s="22" t="s">
        <v>54</v>
      </c>
      <c r="F10" s="33">
        <v>35624</v>
      </c>
      <c r="G10" s="34" t="s">
        <v>45</v>
      </c>
      <c r="H10" s="22">
        <v>144</v>
      </c>
      <c r="I10" s="31">
        <v>45804</v>
      </c>
      <c r="J10" s="77">
        <v>45810</v>
      </c>
      <c r="K10" s="74">
        <v>0</v>
      </c>
      <c r="L10" s="74">
        <v>0</v>
      </c>
      <c r="M10" s="74">
        <v>29</v>
      </c>
      <c r="N10" s="70">
        <v>30</v>
      </c>
      <c r="O10" s="25">
        <f>13580+3290</f>
        <v>16870</v>
      </c>
      <c r="P10" s="76">
        <f>9974-3290+1380+66</f>
        <v>8130</v>
      </c>
      <c r="Q10" s="25">
        <v>0</v>
      </c>
      <c r="R10" s="3">
        <v>0</v>
      </c>
      <c r="S10" s="23">
        <f t="shared" si="0"/>
        <v>25000</v>
      </c>
      <c r="T10" s="15">
        <f t="shared" si="1"/>
        <v>25000</v>
      </c>
      <c r="U10" s="7">
        <f t="shared" si="2"/>
        <v>16870</v>
      </c>
      <c r="V10" s="7">
        <f t="shared" si="3"/>
        <v>8130</v>
      </c>
      <c r="W10" s="7">
        <f t="shared" si="4"/>
        <v>0</v>
      </c>
      <c r="X10" s="7">
        <f t="shared" si="5"/>
        <v>0</v>
      </c>
      <c r="Y10" s="8">
        <f t="shared" si="6"/>
        <v>25000</v>
      </c>
      <c r="Z10" s="11">
        <f>ROUND(IF(O10&gt;15000,(15000/$AI$2*N10)*12%,U10*12%)*1,0)</f>
        <v>1800</v>
      </c>
      <c r="AA10" s="12">
        <f t="shared" si="7"/>
        <v>1800</v>
      </c>
      <c r="AB10" s="11">
        <v>0</v>
      </c>
      <c r="AC10" s="7">
        <v>0</v>
      </c>
      <c r="AD10" s="6">
        <v>0</v>
      </c>
      <c r="AE10" s="7">
        <f t="shared" si="8"/>
        <v>1800</v>
      </c>
      <c r="AF10" s="8">
        <f t="shared" si="9"/>
        <v>23200</v>
      </c>
      <c r="AG10" s="43">
        <v>0.5</v>
      </c>
      <c r="AH10" s="42">
        <v>0</v>
      </c>
      <c r="AI10" s="14"/>
      <c r="AJ10" s="39"/>
    </row>
    <row r="11" spans="1:36" ht="15.6" x14ac:dyDescent="0.3">
      <c r="A11" s="3">
        <v>5</v>
      </c>
      <c r="B11" s="36">
        <v>102169927177</v>
      </c>
      <c r="C11" s="27" t="s">
        <v>32</v>
      </c>
      <c r="D11" s="32" t="s">
        <v>37</v>
      </c>
      <c r="E11" s="22" t="s">
        <v>55</v>
      </c>
      <c r="F11" s="33">
        <v>36931</v>
      </c>
      <c r="G11" s="34" t="s">
        <v>46</v>
      </c>
      <c r="H11" s="22">
        <v>156</v>
      </c>
      <c r="I11" s="31">
        <v>45804</v>
      </c>
      <c r="J11" s="77">
        <v>45810</v>
      </c>
      <c r="K11" s="74">
        <v>6.5</v>
      </c>
      <c r="L11" s="74">
        <v>0</v>
      </c>
      <c r="M11" s="74">
        <v>30</v>
      </c>
      <c r="N11" s="70">
        <v>30</v>
      </c>
      <c r="O11" s="3">
        <f>13580+3290</f>
        <v>16870</v>
      </c>
      <c r="P11" s="20">
        <f>4620-3290+5300</f>
        <v>6630</v>
      </c>
      <c r="Q11" s="3">
        <v>0</v>
      </c>
      <c r="R11" s="3">
        <v>0</v>
      </c>
      <c r="S11" s="23">
        <f t="shared" si="0"/>
        <v>23500</v>
      </c>
      <c r="T11" s="15">
        <f t="shared" si="1"/>
        <v>23500</v>
      </c>
      <c r="U11" s="7">
        <f t="shared" si="2"/>
        <v>16870</v>
      </c>
      <c r="V11" s="7">
        <f t="shared" si="3"/>
        <v>6630</v>
      </c>
      <c r="W11" s="7">
        <f t="shared" si="4"/>
        <v>0</v>
      </c>
      <c r="X11" s="7">
        <f t="shared" si="5"/>
        <v>0</v>
      </c>
      <c r="Y11" s="8">
        <f t="shared" si="6"/>
        <v>23500</v>
      </c>
      <c r="Z11" s="11">
        <f>ROUND(IF(O11&gt;15000,(15000/$AI$2*N11)*12%,U11*12%)*1,0)</f>
        <v>1800</v>
      </c>
      <c r="AA11" s="12">
        <f t="shared" si="7"/>
        <v>1800</v>
      </c>
      <c r="AB11" s="11">
        <v>0</v>
      </c>
      <c r="AC11" s="7">
        <v>0</v>
      </c>
      <c r="AD11" s="6">
        <v>0</v>
      </c>
      <c r="AE11" s="7">
        <f t="shared" si="8"/>
        <v>1800</v>
      </c>
      <c r="AF11" s="8">
        <f t="shared" si="9"/>
        <v>21700</v>
      </c>
      <c r="AG11" s="43">
        <v>7.5</v>
      </c>
      <c r="AH11" s="42">
        <v>0.5</v>
      </c>
      <c r="AI11" s="40"/>
      <c r="AJ11" s="39"/>
    </row>
    <row r="12" spans="1:36" ht="15.6" x14ac:dyDescent="0.3">
      <c r="A12" s="3">
        <v>6</v>
      </c>
      <c r="B12" s="35">
        <v>101822888152</v>
      </c>
      <c r="C12" s="27" t="s">
        <v>26</v>
      </c>
      <c r="D12" s="32" t="s">
        <v>38</v>
      </c>
      <c r="E12" s="22" t="s">
        <v>56</v>
      </c>
      <c r="F12" s="33" t="s">
        <v>40</v>
      </c>
      <c r="G12" s="34" t="s">
        <v>47</v>
      </c>
      <c r="H12" s="22">
        <v>1238</v>
      </c>
      <c r="I12" s="31" t="s">
        <v>41</v>
      </c>
      <c r="J12" s="77">
        <v>45813</v>
      </c>
      <c r="K12" s="74">
        <v>5.5</v>
      </c>
      <c r="L12" s="74">
        <v>0</v>
      </c>
      <c r="M12" s="74">
        <v>28.5</v>
      </c>
      <c r="N12" s="70">
        <v>30</v>
      </c>
      <c r="O12" s="25">
        <f>15500+1370</f>
        <v>16870</v>
      </c>
      <c r="P12" s="20">
        <f>4620-3290+5300+1500</f>
        <v>8130</v>
      </c>
      <c r="Q12" s="25">
        <v>0</v>
      </c>
      <c r="R12" s="3">
        <v>0</v>
      </c>
      <c r="S12" s="23">
        <f t="shared" si="0"/>
        <v>25000</v>
      </c>
      <c r="T12" s="15">
        <f t="shared" si="1"/>
        <v>25000</v>
      </c>
      <c r="U12" s="7">
        <f t="shared" si="2"/>
        <v>16870</v>
      </c>
      <c r="V12" s="7">
        <f t="shared" si="3"/>
        <v>8130</v>
      </c>
      <c r="W12" s="7">
        <f t="shared" si="4"/>
        <v>0</v>
      </c>
      <c r="X12" s="7">
        <f t="shared" si="5"/>
        <v>0</v>
      </c>
      <c r="Y12" s="8">
        <f t="shared" si="6"/>
        <v>25000</v>
      </c>
      <c r="Z12" s="11">
        <f>ROUND(IF(O12&gt;15000,(15000/$AI$2*N12)*12%,U12*12%)*1,0)</f>
        <v>1800</v>
      </c>
      <c r="AA12" s="12">
        <f t="shared" si="7"/>
        <v>1800</v>
      </c>
      <c r="AB12" s="11">
        <v>0</v>
      </c>
      <c r="AC12" s="7">
        <v>0</v>
      </c>
      <c r="AD12" s="6">
        <v>0</v>
      </c>
      <c r="AE12" s="7">
        <f t="shared" si="8"/>
        <v>1800</v>
      </c>
      <c r="AF12" s="8">
        <f t="shared" si="9"/>
        <v>23200</v>
      </c>
      <c r="AG12" s="43">
        <v>5.5</v>
      </c>
      <c r="AH12" s="42">
        <v>0</v>
      </c>
      <c r="AI12" s="40"/>
      <c r="AJ12" s="39"/>
    </row>
    <row r="13" spans="1:36" ht="15.6" x14ac:dyDescent="0.3">
      <c r="A13" s="3">
        <v>7</v>
      </c>
      <c r="B13" s="35" t="s">
        <v>26</v>
      </c>
      <c r="C13" s="27" t="s">
        <v>26</v>
      </c>
      <c r="D13" s="32" t="s">
        <v>39</v>
      </c>
      <c r="E13" s="22" t="s">
        <v>57</v>
      </c>
      <c r="F13" s="33">
        <v>36673</v>
      </c>
      <c r="G13" s="34" t="s">
        <v>48</v>
      </c>
      <c r="H13" s="22">
        <v>1213</v>
      </c>
      <c r="I13" s="31">
        <v>45852</v>
      </c>
      <c r="J13" s="77">
        <v>45852</v>
      </c>
      <c r="K13" s="74">
        <v>0</v>
      </c>
      <c r="L13" s="74">
        <v>0</v>
      </c>
      <c r="M13" s="74">
        <v>26</v>
      </c>
      <c r="N13" s="70">
        <f>26+1.5</f>
        <v>27.5</v>
      </c>
      <c r="O13" s="25">
        <f>15500+1370</f>
        <v>16870</v>
      </c>
      <c r="P13" s="20">
        <f>4620-3290+5300</f>
        <v>6630</v>
      </c>
      <c r="Q13" s="25">
        <v>0</v>
      </c>
      <c r="R13" s="3">
        <v>0</v>
      </c>
      <c r="S13" s="23">
        <f t="shared" si="0"/>
        <v>23500</v>
      </c>
      <c r="T13" s="15">
        <f t="shared" si="1"/>
        <v>23500</v>
      </c>
      <c r="U13" s="7">
        <f t="shared" si="2"/>
        <v>15464</v>
      </c>
      <c r="V13" s="7">
        <f t="shared" si="3"/>
        <v>6078</v>
      </c>
      <c r="W13" s="7">
        <f t="shared" si="4"/>
        <v>0</v>
      </c>
      <c r="X13" s="7">
        <f t="shared" si="5"/>
        <v>0</v>
      </c>
      <c r="Y13" s="8">
        <f t="shared" si="6"/>
        <v>21542</v>
      </c>
      <c r="Z13" s="11">
        <v>0</v>
      </c>
      <c r="AA13" s="12">
        <f t="shared" si="7"/>
        <v>0</v>
      </c>
      <c r="AB13" s="11">
        <v>0</v>
      </c>
      <c r="AC13" s="7">
        <v>0</v>
      </c>
      <c r="AD13" s="6">
        <v>0</v>
      </c>
      <c r="AE13" s="7">
        <f t="shared" si="8"/>
        <v>0</v>
      </c>
      <c r="AF13" s="8">
        <f t="shared" si="9"/>
        <v>21542</v>
      </c>
      <c r="AG13" s="43">
        <v>0</v>
      </c>
      <c r="AH13" s="42">
        <v>0</v>
      </c>
      <c r="AI13" s="40"/>
      <c r="AJ13" s="39"/>
    </row>
    <row r="14" spans="1:36" ht="15.6" x14ac:dyDescent="0.3">
      <c r="A14" s="3">
        <v>8</v>
      </c>
      <c r="B14" s="35" t="s">
        <v>74</v>
      </c>
      <c r="C14" s="27" t="s">
        <v>72</v>
      </c>
      <c r="D14" s="32" t="s">
        <v>59</v>
      </c>
      <c r="E14" s="22" t="s">
        <v>63</v>
      </c>
      <c r="F14" s="33">
        <v>38883</v>
      </c>
      <c r="G14" s="34" t="s">
        <v>64</v>
      </c>
      <c r="H14" s="22">
        <v>1449</v>
      </c>
      <c r="I14" s="31">
        <v>46023</v>
      </c>
      <c r="J14" s="77">
        <v>46028</v>
      </c>
      <c r="K14" s="74">
        <v>2</v>
      </c>
      <c r="L14" s="74">
        <v>0</v>
      </c>
      <c r="M14" s="74">
        <v>30</v>
      </c>
      <c r="N14" s="70">
        <v>30</v>
      </c>
      <c r="O14" s="25">
        <v>16870</v>
      </c>
      <c r="P14" s="25">
        <v>1130</v>
      </c>
      <c r="Q14" s="25">
        <v>0</v>
      </c>
      <c r="R14" s="3">
        <v>0</v>
      </c>
      <c r="S14" s="23">
        <f t="shared" si="0"/>
        <v>18000</v>
      </c>
      <c r="T14" s="15">
        <f t="shared" si="1"/>
        <v>18000</v>
      </c>
      <c r="U14" s="7">
        <f t="shared" si="2"/>
        <v>16870</v>
      </c>
      <c r="V14" s="7">
        <f t="shared" si="3"/>
        <v>1130</v>
      </c>
      <c r="W14" s="7">
        <f t="shared" si="4"/>
        <v>0</v>
      </c>
      <c r="X14" s="7">
        <f t="shared" si="5"/>
        <v>0</v>
      </c>
      <c r="Y14" s="8">
        <f t="shared" si="6"/>
        <v>18000</v>
      </c>
      <c r="Z14" s="11">
        <f>ROUND(IF(O14&gt;15000,(15000/$AI$2*N14)*12%,U14*12%)*1,0)</f>
        <v>1800</v>
      </c>
      <c r="AA14" s="12">
        <f t="shared" si="7"/>
        <v>1800</v>
      </c>
      <c r="AB14" s="11">
        <f t="shared" ref="AB14:AB17" si="10">ROUNDUP(Y14*0.75/100,0)</f>
        <v>135</v>
      </c>
      <c r="AC14" s="7">
        <v>0</v>
      </c>
      <c r="AD14" s="6">
        <v>0</v>
      </c>
      <c r="AE14" s="7">
        <f t="shared" si="8"/>
        <v>1935</v>
      </c>
      <c r="AF14" s="8">
        <f t="shared" si="9"/>
        <v>16065</v>
      </c>
      <c r="AG14" s="43">
        <v>3</v>
      </c>
      <c r="AH14" s="42">
        <v>0.5</v>
      </c>
      <c r="AI14" s="41">
        <v>46113</v>
      </c>
      <c r="AJ14" s="39"/>
    </row>
    <row r="15" spans="1:36" ht="15.6" x14ac:dyDescent="0.3">
      <c r="A15" s="3">
        <v>9</v>
      </c>
      <c r="B15" s="35" t="s">
        <v>75</v>
      </c>
      <c r="C15" s="36" t="s">
        <v>92</v>
      </c>
      <c r="D15" s="32" t="s">
        <v>60</v>
      </c>
      <c r="E15" s="22" t="s">
        <v>65</v>
      </c>
      <c r="F15" s="33">
        <v>39483</v>
      </c>
      <c r="G15" s="34" t="s">
        <v>66</v>
      </c>
      <c r="H15" s="22">
        <v>1450</v>
      </c>
      <c r="I15" s="31">
        <v>46023</v>
      </c>
      <c r="J15" s="78" t="s">
        <v>26</v>
      </c>
      <c r="K15" s="74">
        <v>0</v>
      </c>
      <c r="L15" s="74">
        <v>0</v>
      </c>
      <c r="M15" s="74">
        <v>29</v>
      </c>
      <c r="N15" s="70">
        <v>29</v>
      </c>
      <c r="O15" s="3">
        <v>10000</v>
      </c>
      <c r="P15" s="3">
        <v>0</v>
      </c>
      <c r="Q15" s="3">
        <v>0</v>
      </c>
      <c r="R15" s="3">
        <v>0</v>
      </c>
      <c r="S15" s="23">
        <f t="shared" si="0"/>
        <v>10000</v>
      </c>
      <c r="T15" s="15">
        <f t="shared" si="1"/>
        <v>10000</v>
      </c>
      <c r="U15" s="7">
        <f t="shared" si="2"/>
        <v>9667</v>
      </c>
      <c r="V15" s="7">
        <f t="shared" si="3"/>
        <v>0</v>
      </c>
      <c r="W15" s="7">
        <f t="shared" si="4"/>
        <v>0</v>
      </c>
      <c r="X15" s="7">
        <f t="shared" si="5"/>
        <v>0</v>
      </c>
      <c r="Y15" s="8">
        <f t="shared" si="6"/>
        <v>9667</v>
      </c>
      <c r="Z15" s="11">
        <f>ROUND(IF(O15&gt;15000,(15000/$AI$2*N15)*12%,U15*12%)*1,0)</f>
        <v>1160</v>
      </c>
      <c r="AA15" s="12">
        <f t="shared" si="7"/>
        <v>1160</v>
      </c>
      <c r="AB15" s="11">
        <f t="shared" si="10"/>
        <v>73</v>
      </c>
      <c r="AC15" s="7">
        <v>0</v>
      </c>
      <c r="AD15" s="6">
        <v>0</v>
      </c>
      <c r="AE15" s="7">
        <f t="shared" si="8"/>
        <v>1233</v>
      </c>
      <c r="AF15" s="8">
        <f t="shared" si="9"/>
        <v>8434</v>
      </c>
      <c r="AG15" s="43">
        <v>0</v>
      </c>
      <c r="AH15" s="42">
        <v>0</v>
      </c>
      <c r="AI15" s="41">
        <v>46113</v>
      </c>
      <c r="AJ15" s="39" t="s">
        <v>82</v>
      </c>
    </row>
    <row r="16" spans="1:36" s="65" customFormat="1" ht="15.6" x14ac:dyDescent="0.3">
      <c r="A16" s="3">
        <v>10</v>
      </c>
      <c r="B16" s="48" t="s">
        <v>26</v>
      </c>
      <c r="C16" s="49" t="s">
        <v>73</v>
      </c>
      <c r="D16" s="50" t="s">
        <v>61</v>
      </c>
      <c r="E16" s="51" t="s">
        <v>67</v>
      </c>
      <c r="F16" s="52">
        <v>36589</v>
      </c>
      <c r="G16" s="53" t="s">
        <v>68</v>
      </c>
      <c r="H16" s="51">
        <v>1535</v>
      </c>
      <c r="I16" s="54">
        <v>46044</v>
      </c>
      <c r="J16" s="45">
        <v>46044</v>
      </c>
      <c r="K16" s="75">
        <v>0</v>
      </c>
      <c r="L16" s="75">
        <v>0</v>
      </c>
      <c r="M16" s="75">
        <v>5</v>
      </c>
      <c r="N16" s="71">
        <v>5</v>
      </c>
      <c r="O16" s="47">
        <f>15200+1670</f>
        <v>16870</v>
      </c>
      <c r="P16" s="47">
        <f>2800-1670</f>
        <v>1130</v>
      </c>
      <c r="Q16" s="47">
        <v>0</v>
      </c>
      <c r="R16" s="47">
        <v>0</v>
      </c>
      <c r="S16" s="56">
        <f t="shared" si="0"/>
        <v>18000</v>
      </c>
      <c r="T16" s="56">
        <f t="shared" si="1"/>
        <v>18000</v>
      </c>
      <c r="U16" s="57">
        <f t="shared" si="2"/>
        <v>2812</v>
      </c>
      <c r="V16" s="57">
        <f t="shared" si="3"/>
        <v>188</v>
      </c>
      <c r="W16" s="57">
        <f t="shared" si="4"/>
        <v>0</v>
      </c>
      <c r="X16" s="57">
        <f t="shared" si="5"/>
        <v>0</v>
      </c>
      <c r="Y16" s="58">
        <f t="shared" si="6"/>
        <v>3000</v>
      </c>
      <c r="Z16" s="59">
        <v>0</v>
      </c>
      <c r="AA16" s="60">
        <f t="shared" si="7"/>
        <v>0</v>
      </c>
      <c r="AB16" s="59">
        <f t="shared" si="10"/>
        <v>23</v>
      </c>
      <c r="AC16" s="57">
        <v>0</v>
      </c>
      <c r="AD16" s="61">
        <v>0</v>
      </c>
      <c r="AE16" s="57">
        <f t="shared" si="8"/>
        <v>23</v>
      </c>
      <c r="AF16" s="58">
        <f t="shared" si="9"/>
        <v>2977</v>
      </c>
      <c r="AG16" s="55">
        <v>0</v>
      </c>
      <c r="AH16" s="62">
        <v>0</v>
      </c>
      <c r="AI16" s="63">
        <v>46134</v>
      </c>
      <c r="AJ16" s="64" t="s">
        <v>87</v>
      </c>
    </row>
    <row r="17" spans="1:36" ht="15.6" x14ac:dyDescent="0.3">
      <c r="A17" s="3">
        <v>11</v>
      </c>
      <c r="B17" s="35" t="s">
        <v>26</v>
      </c>
      <c r="C17" s="27" t="s">
        <v>93</v>
      </c>
      <c r="D17" s="32" t="s">
        <v>62</v>
      </c>
      <c r="E17" s="22"/>
      <c r="F17" s="33">
        <v>36320</v>
      </c>
      <c r="G17" s="34" t="s">
        <v>69</v>
      </c>
      <c r="H17" s="22">
        <v>1533</v>
      </c>
      <c r="I17" s="31">
        <v>46048</v>
      </c>
      <c r="J17" s="77">
        <v>46050</v>
      </c>
      <c r="K17" s="74">
        <v>1.5</v>
      </c>
      <c r="L17" s="74">
        <v>0</v>
      </c>
      <c r="M17" s="74">
        <v>28</v>
      </c>
      <c r="N17" s="70">
        <v>30</v>
      </c>
      <c r="O17" s="25">
        <f>13580+3290</f>
        <v>16870</v>
      </c>
      <c r="P17" s="25">
        <f>6420-3290</f>
        <v>3130</v>
      </c>
      <c r="Q17" s="25">
        <v>0</v>
      </c>
      <c r="R17" s="3">
        <v>0</v>
      </c>
      <c r="S17" s="23">
        <f t="shared" si="0"/>
        <v>20000</v>
      </c>
      <c r="T17" s="15">
        <f t="shared" si="1"/>
        <v>20000</v>
      </c>
      <c r="U17" s="7">
        <f t="shared" si="2"/>
        <v>16870</v>
      </c>
      <c r="V17" s="7">
        <f t="shared" si="3"/>
        <v>3130</v>
      </c>
      <c r="W17" s="7">
        <f t="shared" si="4"/>
        <v>0</v>
      </c>
      <c r="X17" s="7">
        <f t="shared" si="5"/>
        <v>0</v>
      </c>
      <c r="Y17" s="8">
        <f t="shared" si="6"/>
        <v>20000</v>
      </c>
      <c r="Z17" s="11">
        <v>0</v>
      </c>
      <c r="AA17" s="12">
        <f t="shared" si="7"/>
        <v>0</v>
      </c>
      <c r="AB17" s="11">
        <f t="shared" si="10"/>
        <v>150</v>
      </c>
      <c r="AC17" s="7">
        <v>0</v>
      </c>
      <c r="AD17" s="6">
        <v>0</v>
      </c>
      <c r="AE17" s="7">
        <f t="shared" si="8"/>
        <v>150</v>
      </c>
      <c r="AF17" s="8">
        <f t="shared" si="9"/>
        <v>19850</v>
      </c>
      <c r="AG17" s="43">
        <v>1</v>
      </c>
      <c r="AH17" s="42">
        <v>0</v>
      </c>
      <c r="AI17" s="41">
        <v>46138</v>
      </c>
      <c r="AJ17" s="39" t="s">
        <v>99</v>
      </c>
    </row>
    <row r="18" spans="1:36" ht="15.6" x14ac:dyDescent="0.3">
      <c r="A18" s="3">
        <v>12</v>
      </c>
      <c r="B18" s="36" t="s">
        <v>85</v>
      </c>
      <c r="C18" s="27" t="s">
        <v>83</v>
      </c>
      <c r="D18" s="32" t="s">
        <v>79</v>
      </c>
      <c r="E18" s="22" t="s">
        <v>81</v>
      </c>
      <c r="F18" s="33">
        <v>36769</v>
      </c>
      <c r="G18" s="34" t="s">
        <v>80</v>
      </c>
      <c r="H18" s="22">
        <v>1569</v>
      </c>
      <c r="I18" s="31">
        <v>46055</v>
      </c>
      <c r="J18" s="77">
        <v>46062</v>
      </c>
      <c r="K18" s="74">
        <v>0</v>
      </c>
      <c r="L18" s="74">
        <v>0</v>
      </c>
      <c r="M18" s="74">
        <v>25.5</v>
      </c>
      <c r="N18" s="70">
        <v>27</v>
      </c>
      <c r="O18" s="25">
        <f>13580+3290</f>
        <v>16870</v>
      </c>
      <c r="P18" s="25">
        <f>6420-3290</f>
        <v>3130</v>
      </c>
      <c r="Q18" s="25">
        <v>0</v>
      </c>
      <c r="R18" s="3">
        <v>0</v>
      </c>
      <c r="S18" s="23">
        <f t="shared" ref="S18:S20" si="11">O18+P18+Q18+R18</f>
        <v>20000</v>
      </c>
      <c r="T18" s="15">
        <f t="shared" ref="T18:T20" si="12">S18</f>
        <v>20000</v>
      </c>
      <c r="U18" s="7">
        <f t="shared" si="2"/>
        <v>15183</v>
      </c>
      <c r="V18" s="7">
        <f t="shared" si="3"/>
        <v>2817</v>
      </c>
      <c r="W18" s="7">
        <f t="shared" si="4"/>
        <v>0</v>
      </c>
      <c r="X18" s="7">
        <f t="shared" si="5"/>
        <v>0</v>
      </c>
      <c r="Y18" s="8">
        <f t="shared" si="6"/>
        <v>18000</v>
      </c>
      <c r="Z18" s="11">
        <f>ROUND(IF(O18&gt;15000,(15000/$AI$2*N18)*12%,U18*12%)*1,0)</f>
        <v>1620</v>
      </c>
      <c r="AA18" s="12">
        <f t="shared" ref="AA18" si="13">Z18</f>
        <v>1620</v>
      </c>
      <c r="AB18" s="11">
        <f t="shared" ref="AB18" si="14">ROUNDUP(Y18*0.75/100,0)</f>
        <v>135</v>
      </c>
      <c r="AC18" s="7">
        <v>0</v>
      </c>
      <c r="AD18" s="6">
        <v>0</v>
      </c>
      <c r="AE18" s="7">
        <f t="shared" ref="AE18" si="15">Z18+AB18+AC18+AD18</f>
        <v>1755</v>
      </c>
      <c r="AF18" s="8">
        <f t="shared" ref="AF18" si="16">Y18-AE18</f>
        <v>16245</v>
      </c>
      <c r="AG18" s="43">
        <v>0</v>
      </c>
      <c r="AH18" s="42">
        <v>0</v>
      </c>
      <c r="AI18" s="41">
        <v>46145</v>
      </c>
      <c r="AJ18" s="39"/>
    </row>
    <row r="19" spans="1:36" ht="15.6" x14ac:dyDescent="0.3">
      <c r="A19" s="3">
        <v>13</v>
      </c>
      <c r="B19" s="35" t="s">
        <v>26</v>
      </c>
      <c r="C19" s="27" t="s">
        <v>84</v>
      </c>
      <c r="D19" s="32" t="s">
        <v>77</v>
      </c>
      <c r="E19" s="22" t="s">
        <v>78</v>
      </c>
      <c r="F19" s="33">
        <v>39279</v>
      </c>
      <c r="G19" s="34" t="s">
        <v>76</v>
      </c>
      <c r="H19" s="22">
        <v>1620</v>
      </c>
      <c r="I19" s="31">
        <v>46072</v>
      </c>
      <c r="J19" s="77">
        <v>46072</v>
      </c>
      <c r="K19" s="74">
        <v>0.5</v>
      </c>
      <c r="L19" s="74">
        <v>0</v>
      </c>
      <c r="M19" s="74">
        <v>29</v>
      </c>
      <c r="N19" s="70">
        <v>30</v>
      </c>
      <c r="O19" s="25">
        <f>13580+3290</f>
        <v>16870</v>
      </c>
      <c r="P19" s="25">
        <f>4420-3290</f>
        <v>1130</v>
      </c>
      <c r="Q19" s="25">
        <v>0</v>
      </c>
      <c r="R19" s="3">
        <v>0</v>
      </c>
      <c r="S19" s="23">
        <f t="shared" si="11"/>
        <v>18000</v>
      </c>
      <c r="T19" s="15">
        <f t="shared" si="12"/>
        <v>18000</v>
      </c>
      <c r="U19" s="7">
        <f t="shared" si="2"/>
        <v>16870</v>
      </c>
      <c r="V19" s="7">
        <f t="shared" si="3"/>
        <v>1130</v>
      </c>
      <c r="W19" s="7">
        <f t="shared" si="4"/>
        <v>0</v>
      </c>
      <c r="X19" s="7">
        <f t="shared" si="5"/>
        <v>0</v>
      </c>
      <c r="Y19" s="8">
        <f t="shared" si="6"/>
        <v>18000</v>
      </c>
      <c r="Z19" s="11">
        <v>0</v>
      </c>
      <c r="AA19" s="12">
        <f t="shared" ref="AA19:AA20" si="17">Z19</f>
        <v>0</v>
      </c>
      <c r="AB19" s="11">
        <f t="shared" ref="AB19:AB20" si="18">ROUNDUP(Y19*0.75/100,0)</f>
        <v>135</v>
      </c>
      <c r="AC19" s="7">
        <v>0</v>
      </c>
      <c r="AD19" s="6">
        <v>0</v>
      </c>
      <c r="AE19" s="7">
        <f t="shared" ref="AE19:AE20" si="19">Z19+AB19+AC19+AD19</f>
        <v>135</v>
      </c>
      <c r="AF19" s="8">
        <f t="shared" ref="AF19:AF20" si="20">Y19-AE19</f>
        <v>17865</v>
      </c>
      <c r="AG19" s="43">
        <v>1</v>
      </c>
      <c r="AH19" s="42">
        <v>0</v>
      </c>
      <c r="AI19" s="41">
        <v>46162</v>
      </c>
      <c r="AJ19" s="39"/>
    </row>
    <row r="20" spans="1:36" ht="15.6" x14ac:dyDescent="0.3">
      <c r="A20" s="3">
        <v>14</v>
      </c>
      <c r="B20" s="35" t="s">
        <v>26</v>
      </c>
      <c r="C20" s="27" t="s">
        <v>91</v>
      </c>
      <c r="D20" s="32" t="s">
        <v>88</v>
      </c>
      <c r="E20" s="22" t="s">
        <v>89</v>
      </c>
      <c r="F20" s="33">
        <v>35145</v>
      </c>
      <c r="G20" s="34" t="s">
        <v>90</v>
      </c>
      <c r="H20" s="22">
        <v>1741</v>
      </c>
      <c r="I20" s="31">
        <v>46111</v>
      </c>
      <c r="J20" s="77">
        <v>46111</v>
      </c>
      <c r="K20" s="74">
        <v>0</v>
      </c>
      <c r="L20" s="74">
        <v>0</v>
      </c>
      <c r="M20" s="74">
        <v>30</v>
      </c>
      <c r="N20" s="70">
        <v>30</v>
      </c>
      <c r="O20" s="3">
        <f>15500+1370</f>
        <v>16870</v>
      </c>
      <c r="P20" s="3">
        <v>3130</v>
      </c>
      <c r="Q20" s="3">
        <v>0</v>
      </c>
      <c r="R20" s="3">
        <v>0</v>
      </c>
      <c r="S20" s="23">
        <f t="shared" si="11"/>
        <v>20000</v>
      </c>
      <c r="T20" s="15">
        <f t="shared" si="12"/>
        <v>20000</v>
      </c>
      <c r="U20" s="7">
        <f t="shared" si="2"/>
        <v>16870</v>
      </c>
      <c r="V20" s="7">
        <f t="shared" si="3"/>
        <v>3130</v>
      </c>
      <c r="W20" s="7">
        <f t="shared" si="4"/>
        <v>0</v>
      </c>
      <c r="X20" s="7">
        <f t="shared" si="5"/>
        <v>0</v>
      </c>
      <c r="Y20" s="8">
        <f t="shared" si="6"/>
        <v>20000</v>
      </c>
      <c r="Z20" s="11">
        <v>0</v>
      </c>
      <c r="AA20" s="12">
        <f t="shared" si="17"/>
        <v>0</v>
      </c>
      <c r="AB20" s="11">
        <f t="shared" si="18"/>
        <v>150</v>
      </c>
      <c r="AC20" s="7">
        <v>0</v>
      </c>
      <c r="AD20" s="6">
        <v>0</v>
      </c>
      <c r="AE20" s="7">
        <f t="shared" si="19"/>
        <v>150</v>
      </c>
      <c r="AF20" s="8">
        <f t="shared" si="20"/>
        <v>19850</v>
      </c>
      <c r="AG20" s="43">
        <v>1</v>
      </c>
      <c r="AH20" s="42">
        <v>0.5</v>
      </c>
      <c r="AI20" s="41"/>
      <c r="AJ20" s="39"/>
    </row>
    <row r="21" spans="1:36" ht="15.6" x14ac:dyDescent="0.3">
      <c r="S21" s="44" t="s">
        <v>50</v>
      </c>
      <c r="T21" s="44">
        <f t="shared" ref="T21:AE21" si="21">SUM(T7:T20)</f>
        <v>293500</v>
      </c>
      <c r="U21" s="44">
        <f t="shared" si="21"/>
        <v>211826</v>
      </c>
      <c r="V21" s="44">
        <f t="shared" si="21"/>
        <v>62383</v>
      </c>
      <c r="W21" s="44">
        <f t="shared" si="21"/>
        <v>0</v>
      </c>
      <c r="X21" s="44">
        <f t="shared" si="21"/>
        <v>0</v>
      </c>
      <c r="Y21" s="44">
        <f t="shared" si="21"/>
        <v>274209</v>
      </c>
      <c r="Z21" s="44">
        <f t="shared" si="21"/>
        <v>13580</v>
      </c>
      <c r="AA21" s="44">
        <f t="shared" si="21"/>
        <v>13580</v>
      </c>
      <c r="AB21" s="44">
        <f t="shared" si="21"/>
        <v>801</v>
      </c>
      <c r="AC21" s="44">
        <f t="shared" si="21"/>
        <v>0</v>
      </c>
      <c r="AD21" s="44">
        <f t="shared" si="21"/>
        <v>0</v>
      </c>
      <c r="AE21" s="44">
        <f t="shared" si="21"/>
        <v>14381</v>
      </c>
      <c r="AF21" s="44">
        <f t="shared" ref="AF21" si="22">SUM(AF7:AF20)</f>
        <v>259828</v>
      </c>
    </row>
  </sheetData>
  <mergeCells count="14">
    <mergeCell ref="Z4:AD4"/>
    <mergeCell ref="AG4:AG5"/>
    <mergeCell ref="AH4:AH5"/>
    <mergeCell ref="AI4:AI5"/>
    <mergeCell ref="AJ4:AJ5"/>
    <mergeCell ref="F4:F5"/>
    <mergeCell ref="G4:G5"/>
    <mergeCell ref="I4:I5"/>
    <mergeCell ref="J4:J5"/>
    <mergeCell ref="A4:A5"/>
    <mergeCell ref="B4:B5"/>
    <mergeCell ref="C4:C5"/>
    <mergeCell ref="D4:D5"/>
    <mergeCell ref="E4:E5"/>
  </mergeCells>
  <phoneticPr fontId="11" type="noConversion"/>
  <pageMargins left="0.15" right="0.11" top="0.44" bottom="0.03" header="0" footer="0.05"/>
  <pageSetup paperSize="9" fitToHeight="0" orientation="landscape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APR-26</vt:lpstr>
      <vt:lpstr>'APR-26'!Print_Area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Jain</dc:creator>
  <cp:lastModifiedBy>User</cp:lastModifiedBy>
  <dcterms:created xsi:type="dcterms:W3CDTF">2024-06-12T09:56:48Z</dcterms:created>
  <dcterms:modified xsi:type="dcterms:W3CDTF">2026-05-28T11:14:20Z</dcterms:modified>
</cp:coreProperties>
</file>