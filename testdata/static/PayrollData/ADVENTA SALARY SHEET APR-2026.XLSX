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Tekinspirations\HRlens_Playwright\testdata\static\PayrollData\"/>
    </mc:Choice>
  </mc:AlternateContent>
  <bookViews>
    <workbookView xWindow="0" yWindow="0" windowWidth="23040" windowHeight="10332"/>
  </bookViews>
  <sheets>
    <sheet name="APR-26" sheetId="1" r:id="rId1"/>
  </sheets>
  <definedNames>
    <definedName name="_xlnm._FilterDatabase" localSheetId="0" hidden="1">'APR-26'!$A$6:$AL$6</definedName>
    <definedName name="_xlnm.Print_Area" localSheetId="0">'APR-26'!$A$1:$AE$39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" l="1"/>
  <c r="P10" i="1"/>
  <c r="M35" i="1"/>
  <c r="M33" i="1"/>
  <c r="Y36" i="1" l="1"/>
  <c r="Z36" i="1" s="1"/>
  <c r="W36" i="1"/>
  <c r="V36" i="1"/>
  <c r="U36" i="1"/>
  <c r="T36" i="1"/>
  <c r="R36" i="1"/>
  <c r="S36" i="1" s="1"/>
  <c r="W35" i="1"/>
  <c r="V35" i="1"/>
  <c r="U35" i="1"/>
  <c r="T35" i="1"/>
  <c r="Y35" i="1" s="1"/>
  <c r="R35" i="1"/>
  <c r="S35" i="1" s="1"/>
  <c r="W34" i="1"/>
  <c r="V34" i="1"/>
  <c r="U34" i="1"/>
  <c r="T34" i="1"/>
  <c r="Y34" i="1" s="1"/>
  <c r="R34" i="1"/>
  <c r="S34" i="1" s="1"/>
  <c r="W33" i="1"/>
  <c r="V33" i="1"/>
  <c r="U33" i="1"/>
  <c r="T33" i="1"/>
  <c r="Y33" i="1" s="1"/>
  <c r="R33" i="1"/>
  <c r="S33" i="1" s="1"/>
  <c r="P22" i="1"/>
  <c r="N22" i="1"/>
  <c r="N10" i="1"/>
  <c r="N32" i="1"/>
  <c r="O31" i="1"/>
  <c r="N31" i="1"/>
  <c r="O28" i="1"/>
  <c r="N28" i="1"/>
  <c r="O27" i="1"/>
  <c r="N27" i="1"/>
  <c r="O20" i="1"/>
  <c r="N20" i="1"/>
  <c r="N19" i="1"/>
  <c r="O15" i="1"/>
  <c r="N15" i="1"/>
  <c r="P13" i="1"/>
  <c r="N13" i="1"/>
  <c r="P12" i="1"/>
  <c r="N12" i="1"/>
  <c r="N24" i="1"/>
  <c r="O29" i="1"/>
  <c r="N29" i="1"/>
  <c r="O30" i="1"/>
  <c r="N30" i="1"/>
  <c r="O18" i="1"/>
  <c r="N18" i="1"/>
  <c r="O16" i="1"/>
  <c r="N16" i="1"/>
  <c r="O26" i="1"/>
  <c r="N26" i="1"/>
  <c r="O25" i="1"/>
  <c r="N25" i="1"/>
  <c r="X36" i="1" l="1"/>
  <c r="AA36" i="1" s="1"/>
  <c r="AD36" i="1" s="1"/>
  <c r="AE36" i="1" s="1"/>
  <c r="Z34" i="1"/>
  <c r="Z35" i="1"/>
  <c r="Z33" i="1"/>
  <c r="X33" i="1"/>
  <c r="X34" i="1"/>
  <c r="X35" i="1"/>
  <c r="AA34" i="1" l="1"/>
  <c r="AD34" i="1" s="1"/>
  <c r="AE34" i="1" s="1"/>
  <c r="AA33" i="1"/>
  <c r="AD33" i="1" s="1"/>
  <c r="AE33" i="1" s="1"/>
  <c r="AA35" i="1"/>
  <c r="AD35" i="1" s="1"/>
  <c r="AE35" i="1" s="1"/>
  <c r="R8" i="1" l="1"/>
  <c r="T8" i="1"/>
  <c r="U8" i="1"/>
  <c r="V8" i="1"/>
  <c r="W8" i="1"/>
  <c r="AD8" i="1"/>
  <c r="S8" i="1" l="1"/>
  <c r="X8" i="1"/>
  <c r="AE8" i="1" s="1"/>
  <c r="Z31" i="1" l="1"/>
  <c r="W32" i="1"/>
  <c r="V32" i="1"/>
  <c r="U32" i="1"/>
  <c r="T32" i="1"/>
  <c r="W31" i="1"/>
  <c r="V31" i="1"/>
  <c r="U31" i="1"/>
  <c r="T31" i="1"/>
  <c r="W30" i="1"/>
  <c r="V30" i="1"/>
  <c r="U30" i="1"/>
  <c r="T30" i="1"/>
  <c r="W29" i="1"/>
  <c r="V29" i="1"/>
  <c r="U29" i="1"/>
  <c r="T29" i="1"/>
  <c r="R32" i="1"/>
  <c r="R31" i="1"/>
  <c r="R30" i="1"/>
  <c r="R29" i="1"/>
  <c r="S30" i="1" l="1"/>
  <c r="S31" i="1"/>
  <c r="S32" i="1"/>
  <c r="S29" i="1"/>
  <c r="Z30" i="1"/>
  <c r="X29" i="1"/>
  <c r="AA29" i="1" s="1"/>
  <c r="X32" i="1"/>
  <c r="AA32" i="1" s="1"/>
  <c r="Y29" i="1"/>
  <c r="Y32" i="1"/>
  <c r="Z32" i="1" s="1"/>
  <c r="X30" i="1"/>
  <c r="AA30" i="1" s="1"/>
  <c r="AD30" i="1" s="1"/>
  <c r="AE30" i="1" s="1"/>
  <c r="X31" i="1"/>
  <c r="AD31" i="1" s="1"/>
  <c r="AE31" i="1" s="1"/>
  <c r="AD32" i="1" l="1"/>
  <c r="AE32" i="1" s="1"/>
  <c r="AD29" i="1"/>
  <c r="AE29" i="1" s="1"/>
  <c r="Z29" i="1"/>
  <c r="W28" i="1" l="1"/>
  <c r="V28" i="1"/>
  <c r="U28" i="1"/>
  <c r="T28" i="1"/>
  <c r="Y28" i="1" s="1"/>
  <c r="R28" i="1"/>
  <c r="Z27" i="1"/>
  <c r="W27" i="1"/>
  <c r="V27" i="1"/>
  <c r="U27" i="1"/>
  <c r="T27" i="1"/>
  <c r="R27" i="1"/>
  <c r="W26" i="1"/>
  <c r="V26" i="1"/>
  <c r="U26" i="1"/>
  <c r="T26" i="1"/>
  <c r="Y26" i="1" s="1"/>
  <c r="R26" i="1"/>
  <c r="W25" i="1"/>
  <c r="V25" i="1"/>
  <c r="U25" i="1"/>
  <c r="T25" i="1"/>
  <c r="Y25" i="1" s="1"/>
  <c r="R25" i="1"/>
  <c r="W24" i="1"/>
  <c r="V24" i="1"/>
  <c r="U24" i="1"/>
  <c r="T24" i="1"/>
  <c r="Y24" i="1" s="1"/>
  <c r="R24" i="1"/>
  <c r="S27" i="1" l="1"/>
  <c r="S26" i="1"/>
  <c r="S24" i="1"/>
  <c r="S25" i="1"/>
  <c r="S28" i="1"/>
  <c r="X27" i="1"/>
  <c r="AD27" i="1" s="1"/>
  <c r="AE27" i="1" s="1"/>
  <c r="Z28" i="1"/>
  <c r="Z25" i="1"/>
  <c r="Z26" i="1"/>
  <c r="Z24" i="1"/>
  <c r="X24" i="1"/>
  <c r="X25" i="1"/>
  <c r="X26" i="1"/>
  <c r="X28" i="1"/>
  <c r="AD26" i="1" l="1"/>
  <c r="AE26" i="1" s="1"/>
  <c r="AD25" i="1"/>
  <c r="AE25" i="1" s="1"/>
  <c r="AA28" i="1"/>
  <c r="AD28" i="1" s="1"/>
  <c r="AE28" i="1" s="1"/>
  <c r="AA24" i="1"/>
  <c r="AD24" i="1" s="1"/>
  <c r="AE24" i="1" s="1"/>
  <c r="R23" i="1"/>
  <c r="T23" i="1"/>
  <c r="U23" i="1"/>
  <c r="V23" i="1"/>
  <c r="W23" i="1"/>
  <c r="S23" i="1" l="1"/>
  <c r="X23" i="1"/>
  <c r="Y23" i="1"/>
  <c r="AD23" i="1" l="1"/>
  <c r="AE23" i="1" s="1"/>
  <c r="Z23" i="1"/>
  <c r="W22" i="1" l="1"/>
  <c r="V22" i="1"/>
  <c r="U22" i="1"/>
  <c r="T22" i="1"/>
  <c r="R22" i="1"/>
  <c r="W21" i="1"/>
  <c r="V21" i="1"/>
  <c r="U21" i="1"/>
  <c r="T21" i="1"/>
  <c r="R21" i="1"/>
  <c r="S21" i="1" l="1"/>
  <c r="S22" i="1"/>
  <c r="X21" i="1"/>
  <c r="X22" i="1"/>
  <c r="Y22" i="1"/>
  <c r="Z22" i="1" s="1"/>
  <c r="AD21" i="1"/>
  <c r="Z21" i="1"/>
  <c r="AD22" i="1" l="1"/>
  <c r="AE22" i="1" s="1"/>
  <c r="AE21" i="1"/>
  <c r="AD17" i="1" l="1"/>
  <c r="W20" i="1"/>
  <c r="V20" i="1"/>
  <c r="U20" i="1"/>
  <c r="T20" i="1"/>
  <c r="W19" i="1"/>
  <c r="V19" i="1"/>
  <c r="U19" i="1"/>
  <c r="T19" i="1"/>
  <c r="Y19" i="1" s="1"/>
  <c r="W18" i="1"/>
  <c r="V18" i="1"/>
  <c r="U18" i="1"/>
  <c r="T18" i="1"/>
  <c r="Y18" i="1" s="1"/>
  <c r="R20" i="1"/>
  <c r="R19" i="1"/>
  <c r="R18" i="1"/>
  <c r="S18" i="1" l="1"/>
  <c r="S19" i="1"/>
  <c r="S20" i="1"/>
  <c r="X20" i="1"/>
  <c r="AA20" i="1" s="1"/>
  <c r="AD20" i="1" s="1"/>
  <c r="AE20" i="1" s="1"/>
  <c r="Z18" i="1"/>
  <c r="Z19" i="1"/>
  <c r="X18" i="1"/>
  <c r="X19" i="1"/>
  <c r="Z20" i="1"/>
  <c r="W17" i="1"/>
  <c r="V17" i="1"/>
  <c r="U17" i="1"/>
  <c r="T17" i="1"/>
  <c r="R17" i="1"/>
  <c r="S17" i="1" l="1"/>
  <c r="AD19" i="1"/>
  <c r="AE19" i="1" s="1"/>
  <c r="AD18" i="1"/>
  <c r="AE18" i="1" s="1"/>
  <c r="X17" i="1"/>
  <c r="AE17" i="1" s="1"/>
  <c r="AC39" i="1"/>
  <c r="AB39" i="1"/>
  <c r="W16" i="1" l="1"/>
  <c r="V16" i="1"/>
  <c r="U16" i="1"/>
  <c r="T16" i="1"/>
  <c r="R16" i="1"/>
  <c r="S16" i="1" l="1"/>
  <c r="X16" i="1"/>
  <c r="Y16" i="1"/>
  <c r="Z15" i="1"/>
  <c r="W15" i="1"/>
  <c r="V15" i="1"/>
  <c r="U15" i="1"/>
  <c r="T15" i="1"/>
  <c r="R15" i="1"/>
  <c r="S15" i="1" l="1"/>
  <c r="Z16" i="1"/>
  <c r="AD16" i="1"/>
  <c r="AE16" i="1" s="1"/>
  <c r="X15" i="1"/>
  <c r="AD15" i="1" s="1"/>
  <c r="AE15" i="1" s="1"/>
  <c r="W14" i="1" l="1"/>
  <c r="V14" i="1"/>
  <c r="U14" i="1"/>
  <c r="T14" i="1"/>
  <c r="Y14" i="1" s="1"/>
  <c r="Z14" i="1" s="1"/>
  <c r="R14" i="1"/>
  <c r="S14" i="1" l="1"/>
  <c r="X14" i="1"/>
  <c r="AD14" i="1" l="1"/>
  <c r="AE14" i="1" s="1"/>
  <c r="R13" i="1" l="1"/>
  <c r="W13" i="1"/>
  <c r="V13" i="1"/>
  <c r="U13" i="1"/>
  <c r="T13" i="1"/>
  <c r="S13" i="1" l="1"/>
  <c r="Y13" i="1"/>
  <c r="Z13" i="1" s="1"/>
  <c r="X13" i="1"/>
  <c r="AD13" i="1" l="1"/>
  <c r="AE13" i="1" s="1"/>
  <c r="AD7" i="1" l="1"/>
  <c r="AD9" i="1"/>
  <c r="V7" i="1" l="1"/>
  <c r="V9" i="1"/>
  <c r="V10" i="1"/>
  <c r="V11" i="1"/>
  <c r="V12" i="1"/>
  <c r="U7" i="1"/>
  <c r="U9" i="1"/>
  <c r="U10" i="1"/>
  <c r="U11" i="1"/>
  <c r="U12" i="1"/>
  <c r="T7" i="1"/>
  <c r="T9" i="1"/>
  <c r="T10" i="1"/>
  <c r="T11" i="1"/>
  <c r="T12" i="1"/>
  <c r="Y12" i="1" s="1"/>
  <c r="R12" i="1" l="1"/>
  <c r="W12" i="1"/>
  <c r="X12" i="1" s="1"/>
  <c r="S12" i="1" l="1"/>
  <c r="Z12" i="1"/>
  <c r="AD12" i="1" l="1"/>
  <c r="AE12" i="1" s="1"/>
  <c r="R7" i="1"/>
  <c r="R9" i="1"/>
  <c r="R10" i="1"/>
  <c r="R11" i="1"/>
  <c r="W7" i="1"/>
  <c r="X7" i="1" s="1"/>
  <c r="AE7" i="1" s="1"/>
  <c r="W9" i="1"/>
  <c r="X9" i="1" s="1"/>
  <c r="AE9" i="1" s="1"/>
  <c r="V39" i="1"/>
  <c r="U39" i="1"/>
  <c r="T39" i="1"/>
  <c r="W11" i="1"/>
  <c r="X11" i="1" s="1"/>
  <c r="Y11" i="1"/>
  <c r="Y39" i="1" s="1"/>
  <c r="S9" i="1" l="1"/>
  <c r="S10" i="1"/>
  <c r="S7" i="1"/>
  <c r="S11" i="1"/>
  <c r="Z11" i="1"/>
  <c r="Z39" i="1" s="1"/>
  <c r="W10" i="1"/>
  <c r="X10" i="1" s="1"/>
  <c r="S39" i="1" l="1"/>
  <c r="X39" i="1"/>
  <c r="W39" i="1"/>
  <c r="AA39" i="1" l="1"/>
  <c r="AD11" i="1" l="1"/>
  <c r="AE11" i="1" s="1"/>
  <c r="AD10" i="1" l="1"/>
  <c r="AD39" i="1" s="1"/>
  <c r="AE10" i="1" l="1"/>
  <c r="AE39" i="1" s="1"/>
</calcChain>
</file>

<file path=xl/sharedStrings.xml><?xml version="1.0" encoding="utf-8"?>
<sst xmlns="http://schemas.openxmlformats.org/spreadsheetml/2006/main" count="188" uniqueCount="137">
  <si>
    <t>Emp. Name</t>
  </si>
  <si>
    <t>PAN</t>
  </si>
  <si>
    <t>DOB</t>
  </si>
  <si>
    <t>Father Name</t>
  </si>
  <si>
    <t>Emp.</t>
  </si>
  <si>
    <t>Total</t>
  </si>
  <si>
    <t>H.R.A.</t>
  </si>
  <si>
    <t>Conv.</t>
  </si>
  <si>
    <t xml:space="preserve">Spcl. </t>
  </si>
  <si>
    <t>DEDUCTIONS</t>
  </si>
  <si>
    <t>TOT.</t>
  </si>
  <si>
    <t xml:space="preserve">Net </t>
  </si>
  <si>
    <t>Reserve Leave</t>
  </si>
  <si>
    <t>Casual Leave</t>
  </si>
  <si>
    <t>Code</t>
  </si>
  <si>
    <t>Salary</t>
  </si>
  <si>
    <t>Amt.</t>
  </si>
  <si>
    <t>Alw.</t>
  </si>
  <si>
    <t>E.S.I.</t>
  </si>
  <si>
    <t>ADV.</t>
  </si>
  <si>
    <t>T.D.S.</t>
  </si>
  <si>
    <t>Ded.</t>
  </si>
  <si>
    <t>Payable</t>
  </si>
  <si>
    <t>NA</t>
  </si>
  <si>
    <t>ADVENTA TECH PRIVATE LIMITED</t>
  </si>
  <si>
    <t xml:space="preserve">PUSHPENDRA VERMA </t>
  </si>
  <si>
    <t>BQJPV6158A</t>
  </si>
  <si>
    <t>INDRESH VERMA</t>
  </si>
  <si>
    <t>ASHISH SHARMA</t>
  </si>
  <si>
    <t>RAM CHAND SHARMA</t>
  </si>
  <si>
    <t>PMGPS6454B</t>
  </si>
  <si>
    <t>ANKIT SINGH</t>
  </si>
  <si>
    <t>PANKAJ UPADHYAY</t>
  </si>
  <si>
    <t>BKVPS3108R</t>
  </si>
  <si>
    <t>VINOD SINGH</t>
  </si>
  <si>
    <t>AFDPU4044E</t>
  </si>
  <si>
    <t>KANHAIYALAL UPADHYAY</t>
  </si>
  <si>
    <t>Employee P.F.</t>
  </si>
  <si>
    <t>Employer P.F.</t>
  </si>
  <si>
    <t>Basic + Da</t>
  </si>
  <si>
    <t>SR. No.</t>
  </si>
  <si>
    <t>KARTIK AGARWAL</t>
  </si>
  <si>
    <t>EIJPA1849G</t>
  </si>
  <si>
    <t>DEVENDRAD GOYAL</t>
  </si>
  <si>
    <t>MOHD IQBAL KHAN</t>
  </si>
  <si>
    <t>JURPK6811H</t>
  </si>
  <si>
    <t>EHSAN KHAN</t>
  </si>
  <si>
    <t>Remarks</t>
  </si>
  <si>
    <t>Probation Period till 90 Days 
(from the DOJ)</t>
  </si>
  <si>
    <t>MONU SHARMA</t>
  </si>
  <si>
    <t>VICKEY DHAKREY</t>
  </si>
  <si>
    <t>SNTPS5916P</t>
  </si>
  <si>
    <t>DUAPD9117E</t>
  </si>
  <si>
    <t>BIJENDRA SHARMA</t>
  </si>
  <si>
    <t>DEVENDRA SINGH DHAKRE</t>
  </si>
  <si>
    <t>DOJ</t>
  </si>
  <si>
    <t>SAGAR KUMAR</t>
  </si>
  <si>
    <t>KYLPK5576A</t>
  </si>
  <si>
    <t>CHARAT KUMAR</t>
  </si>
  <si>
    <t>ESIC &amp; PF</t>
  </si>
  <si>
    <t>DATE</t>
  </si>
  <si>
    <t>4/6/2024</t>
  </si>
  <si>
    <t>SANJEEV ROHTAGI</t>
  </si>
  <si>
    <t>ANTPR6949R</t>
  </si>
  <si>
    <t>DESH UDDHAR ROHTAGI</t>
  </si>
  <si>
    <t>Insured Under</t>
  </si>
  <si>
    <t>ICICI Lombard</t>
  </si>
  <si>
    <t>ESIC</t>
  </si>
  <si>
    <t>VINAY SINGH</t>
  </si>
  <si>
    <t>MCEPS5120B</t>
  </si>
  <si>
    <t>GEETAM SINGH</t>
  </si>
  <si>
    <t>BHAWESH BHATIA</t>
  </si>
  <si>
    <t>PRAFUL BHATIA</t>
  </si>
  <si>
    <t>DIVYANSH KULSHRESTHA</t>
  </si>
  <si>
    <t>MBBPK1144F</t>
  </si>
  <si>
    <t>MUKESH KULSHRESTHA</t>
  </si>
  <si>
    <t>FZVPB6751E</t>
  </si>
  <si>
    <t>VIMAL TIWARI</t>
  </si>
  <si>
    <t>BFLPT6145J</t>
  </si>
  <si>
    <t>VIJAY KUMAR TIWARI</t>
  </si>
  <si>
    <t>PRIYANKA BHARADWAJ PANDEY</t>
  </si>
  <si>
    <t>COBPB4928P</t>
  </si>
  <si>
    <t>ASHVANI BHARADWAJ</t>
  </si>
  <si>
    <t>VISHAL</t>
  </si>
  <si>
    <t>HIBPK9872A</t>
  </si>
  <si>
    <t>MAN SINGH</t>
  </si>
  <si>
    <t>MOHIT KUMAR</t>
  </si>
  <si>
    <t>IGRPK3057G</t>
  </si>
  <si>
    <t>SHIVENDER PAL SINGH</t>
  </si>
  <si>
    <t>SACHIN ARORA</t>
  </si>
  <si>
    <t>EKNPA1768L</t>
  </si>
  <si>
    <t>PURUSHOTTAM ARORA</t>
  </si>
  <si>
    <t>YASH RAJ SINGH</t>
  </si>
  <si>
    <t>QQGPS4671R</t>
  </si>
  <si>
    <t>BHAGWAN SINGH</t>
  </si>
  <si>
    <t>NEHA CHAHAR</t>
  </si>
  <si>
    <t>CZSPC1912N</t>
  </si>
  <si>
    <t>DAL CHAND</t>
  </si>
  <si>
    <t>KUNAL SINGH</t>
  </si>
  <si>
    <t>LWCPS2290D</t>
  </si>
  <si>
    <t>VIJAY SINGH</t>
  </si>
  <si>
    <t>-</t>
  </si>
  <si>
    <t>ANJALI KUMARI</t>
  </si>
  <si>
    <t>NNBPK4310J</t>
  </si>
  <si>
    <t>LAXMAN RAM</t>
  </si>
  <si>
    <t>VAISHNAVI</t>
  </si>
  <si>
    <t>CTRPV6427L</t>
  </si>
  <si>
    <t>LALIT MOHAN SHARMA</t>
  </si>
  <si>
    <t>RASHI VERMA</t>
  </si>
  <si>
    <t>CNOPV0404L</t>
  </si>
  <si>
    <t>POONAM VERMA</t>
  </si>
  <si>
    <t>AMAN ALAM</t>
  </si>
  <si>
    <t>DSVPA4464C</t>
  </si>
  <si>
    <t>MASROOR ALAM</t>
  </si>
  <si>
    <t>Gross 
Amt.</t>
  </si>
  <si>
    <t>GOPAL SHARMA</t>
  </si>
  <si>
    <t>GYDPS6124Q</t>
  </si>
  <si>
    <t>MOHAN SHARMA</t>
  </si>
  <si>
    <t>Not Register</t>
  </si>
  <si>
    <t>SALARY SHEET FOR THE MONTH OF APRIL-2026</t>
  </si>
  <si>
    <t>EL (MAR-26)</t>
  </si>
  <si>
    <t>CL (MAR-26)</t>
  </si>
  <si>
    <t>Actual Working Days in April 26</t>
  </si>
  <si>
    <t>Payable Days</t>
  </si>
  <si>
    <t>ANSH AGARWAL</t>
  </si>
  <si>
    <t>AKSHAT ROHATGI</t>
  </si>
  <si>
    <t>KESHAV TIWARI</t>
  </si>
  <si>
    <t>Not Joined</t>
  </si>
  <si>
    <t>ATUL MOHAN PIPPAL</t>
  </si>
  <si>
    <t>FIBPA5843P</t>
  </si>
  <si>
    <t>FRMPR2517B</t>
  </si>
  <si>
    <t>MANOJ ROHATGI</t>
  </si>
  <si>
    <t>RAJESH AGARWAL</t>
  </si>
  <si>
    <t>GIRISH TIWARI</t>
  </si>
  <si>
    <t>ASHOK KUMAR PIPPAL</t>
  </si>
  <si>
    <t>CIKPP0323H</t>
  </si>
  <si>
    <t>BYRPT4058D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</si>
</sst>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[$-409]d\-mmm\-yy;@"/>
    <numFmt numFmtId="166" formatCode="dd/mm/yyyy"/>
  </numFmts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2"/>
      <name val="Calibri"/>
      <family val="2"/>
      <scheme val="minor"/>
    </font>
    <font>
      <b/>
      <sz val="16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4">
    <xf numFmtId="0" fontId="0" fillId="0" borderId="0" xfId="0"/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7" fillId="0" borderId="0" xfId="0" applyNumberFormat="1" applyFont="1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vertical="top"/>
    </xf>
    <xf numFmtId="1" fontId="4" fillId="0" borderId="1" xfId="0" applyNumberFormat="1" applyFont="1" applyBorder="1" applyAlignment="1">
      <alignment horizontal="center" vertical="center"/>
    </xf>
    <xf numFmtId="0" fontId="6" fillId="0" borderId="0" xfId="0" applyFont="1"/>
    <xf numFmtId="164" fontId="4" fillId="0" borderId="1" xfId="0" applyNumberFormat="1" applyFont="1" applyBorder="1" applyAlignment="1">
      <alignment horizontal="center" vertical="center"/>
    </xf>
    <xf numFmtId="0" fontId="9" fillId="3" borderId="0" xfId="0" applyFont="1" applyFill="1"/>
    <xf numFmtId="1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" fontId="10" fillId="0" borderId="7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14" fontId="7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8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 applyProtection="1">
      <alignment horizontal="left"/>
      <protection locked="0"/>
    </xf>
    <xf numFmtId="16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15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165" fontId="4" fillId="0" borderId="1" xfId="0" applyNumberFormat="1" applyFont="1" applyBorder="1" applyAlignment="1" applyProtection="1">
      <alignment horizontal="left"/>
      <protection locked="0"/>
    </xf>
    <xf numFmtId="165" fontId="4" fillId="0" borderId="2" xfId="0" applyNumberFormat="1" applyFont="1" applyBorder="1" applyAlignment="1" applyProtection="1">
      <alignment horizontal="left"/>
      <protection locked="0"/>
    </xf>
    <xf numFmtId="0" fontId="5" fillId="0" borderId="0" xfId="0" applyFont="1" applyAlignment="1">
      <alignment horizontal="center" vertical="top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Protection="1">
      <protection locked="0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166" fontId="13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4" fontId="4" fillId="0" borderId="1" xfId="0" quotePrefix="1" applyNumberFormat="1" applyFont="1" applyBorder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1" fontId="16" fillId="5" borderId="2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164" fontId="10" fillId="7" borderId="1" xfId="0" applyNumberFormat="1" applyFont="1" applyFill="1" applyBorder="1" applyAlignment="1">
      <alignment horizontal="center"/>
    </xf>
    <xf numFmtId="164" fontId="10" fillId="7" borderId="2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/>
    </xf>
    <xf numFmtId="0" fontId="4" fillId="6" borderId="2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13" fillId="8" borderId="2" xfId="0" applyFont="1" applyFill="1" applyBorder="1" applyAlignment="1">
      <alignment horizontal="left"/>
    </xf>
    <xf numFmtId="14" fontId="13" fillId="8" borderId="2" xfId="0" applyNumberFormat="1" applyFont="1" applyFill="1" applyBorder="1" applyAlignment="1">
      <alignment horizontal="center"/>
    </xf>
    <xf numFmtId="0" fontId="14" fillId="8" borderId="2" xfId="0" applyFont="1" applyFill="1" applyBorder="1" applyAlignment="1">
      <alignment horizontal="left"/>
    </xf>
    <xf numFmtId="0" fontId="14" fillId="8" borderId="2" xfId="0" applyFont="1" applyFill="1" applyBorder="1" applyAlignment="1">
      <alignment horizontal="center"/>
    </xf>
    <xf numFmtId="14" fontId="4" fillId="8" borderId="2" xfId="0" applyNumberFormat="1" applyFont="1" applyFill="1" applyBorder="1" applyAlignment="1">
      <alignment horizontal="center"/>
    </xf>
    <xf numFmtId="14" fontId="4" fillId="8" borderId="1" xfId="0" applyNumberFormat="1" applyFont="1" applyFill="1" applyBorder="1" applyAlignment="1">
      <alignment horizontal="center"/>
    </xf>
    <xf numFmtId="164" fontId="4" fillId="8" borderId="2" xfId="0" applyNumberFormat="1" applyFont="1" applyFill="1" applyBorder="1" applyAlignment="1">
      <alignment horizontal="center"/>
    </xf>
    <xf numFmtId="164" fontId="10" fillId="8" borderId="2" xfId="0" applyNumberFormat="1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" fontId="7" fillId="8" borderId="1" xfId="0" applyNumberFormat="1" applyFont="1" applyFill="1" applyBorder="1" applyAlignment="1">
      <alignment horizontal="center" vertical="center"/>
    </xf>
    <xf numFmtId="1" fontId="4" fillId="8" borderId="2" xfId="0" applyNumberFormat="1" applyFont="1" applyFill="1" applyBorder="1" applyAlignment="1">
      <alignment horizontal="center"/>
    </xf>
    <xf numFmtId="1" fontId="4" fillId="8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1" fontId="16" fillId="8" borderId="2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14" fontId="4" fillId="8" borderId="2" xfId="0" applyNumberFormat="1" applyFont="1" applyFill="1" applyBorder="1" applyAlignment="1">
      <alignment horizontal="center" vertical="center"/>
    </xf>
    <xf numFmtId="165" fontId="4" fillId="8" borderId="2" xfId="0" applyNumberFormat="1" applyFont="1" applyFill="1" applyBorder="1" applyAlignment="1" applyProtection="1">
      <alignment horizontal="left"/>
      <protection locked="0"/>
    </xf>
    <xf numFmtId="0" fontId="7" fillId="8" borderId="0" xfId="0" applyFont="1" applyFill="1"/>
    <xf numFmtId="0" fontId="7" fillId="8" borderId="2" xfId="1" applyFont="1" applyFill="1" applyBorder="1" applyAlignment="1">
      <alignment horizontal="center" vertical="center"/>
    </xf>
    <xf numFmtId="9" fontId="7" fillId="0" borderId="0" xfId="0" applyNumberFormat="1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5"/>
  <sheetViews>
    <sheetView tabSelected="1" zoomScale="84" zoomScaleNormal="90" zoomScaleSheetLayoutView="100" workbookViewId="0">
      <pane xSplit="2" ySplit="6" topLeftCell="O7" activePane="bottomRight" state="frozen"/>
      <selection pane="topRight" activeCell="E1" sqref="E1"/>
      <selection pane="bottomLeft" activeCell="A7" sqref="A7"/>
      <selection pane="bottomRight" activeCell="Q2" sqref="Q2"/>
    </sheetView>
  </sheetViews>
  <sheetFormatPr defaultColWidth="9.33203125" defaultRowHeight="14.4" x14ac:dyDescent="0.3"/>
  <cols>
    <col min="1" max="1" width="8.44140625" style="6" customWidth="1"/>
    <col min="2" max="2" width="32.109375" style="6" bestFit="1" customWidth="1"/>
    <col min="3" max="3" width="15.109375" style="51" customWidth="1"/>
    <col min="4" max="4" width="12.6640625" style="51" customWidth="1"/>
    <col min="5" max="5" width="30.6640625" style="51" customWidth="1"/>
    <col min="6" max="6" width="14.33203125" style="7" customWidth="1"/>
    <col min="7" max="7" width="11.5546875" style="7" customWidth="1"/>
    <col min="8" max="8" width="13.5546875" style="7" customWidth="1"/>
    <col min="9" max="9" width="19.88671875" style="7" customWidth="1"/>
    <col min="10" max="10" width="13.88671875" style="7" customWidth="1"/>
    <col min="11" max="11" width="11.88671875" style="7" customWidth="1"/>
    <col min="12" max="12" width="16.6640625" style="7" customWidth="1"/>
    <col min="13" max="13" width="8" style="17" customWidth="1"/>
    <col min="14" max="14" width="10.5546875" style="6" customWidth="1"/>
    <col min="15" max="16" width="7.44140625" style="6" customWidth="1"/>
    <col min="17" max="17" width="6.6640625" style="6" customWidth="1"/>
    <col min="18" max="18" width="9" style="7" customWidth="1"/>
    <col min="19" max="19" width="10" style="7" customWidth="1"/>
    <col min="20" max="20" width="10.5546875" style="7" customWidth="1"/>
    <col min="21" max="21" width="8.6640625" style="7" customWidth="1"/>
    <col min="22" max="22" width="8.33203125" style="7" customWidth="1"/>
    <col min="23" max="23" width="6.6640625" style="7" customWidth="1"/>
    <col min="24" max="24" width="8.6640625" style="8" customWidth="1"/>
    <col min="25" max="25" width="10" style="8" customWidth="1"/>
    <col min="26" max="26" width="9.5546875" style="8" customWidth="1"/>
    <col min="27" max="27" width="6.33203125" style="7" customWidth="1"/>
    <col min="28" max="28" width="7.33203125" style="7" customWidth="1"/>
    <col min="29" max="29" width="7.44140625" style="7" customWidth="1"/>
    <col min="30" max="30" width="8.33203125" style="7" customWidth="1"/>
    <col min="31" max="31" width="8.6640625" style="7" customWidth="1"/>
    <col min="32" max="32" width="14.33203125" style="9" customWidth="1"/>
    <col min="33" max="33" width="12.6640625" style="6" customWidth="1"/>
    <col min="34" max="34" width="16.109375" style="6" customWidth="1"/>
    <col min="35" max="35" width="49.33203125" style="51" bestFit="1" customWidth="1"/>
    <col min="36" max="16384" width="9.33203125" style="6"/>
  </cols>
  <sheetData>
    <row r="1" spans="1:35" ht="29.25" customHeight="1" x14ac:dyDescent="0.3">
      <c r="A1" s="21" t="s">
        <v>24</v>
      </c>
      <c r="B1" s="21"/>
      <c r="C1" s="69"/>
      <c r="D1" s="69"/>
      <c r="E1" s="69"/>
      <c r="F1" s="56"/>
      <c r="G1" s="21"/>
      <c r="H1" s="21"/>
      <c r="I1" s="21"/>
      <c r="J1" s="21"/>
      <c r="K1" s="21"/>
      <c r="L1" s="21"/>
      <c r="M1" s="21"/>
      <c r="N1" s="21"/>
      <c r="O1" s="21"/>
    </row>
    <row r="2" spans="1:35" s="2" customFormat="1" ht="22.5" customHeight="1" x14ac:dyDescent="0.3">
      <c r="A2" s="5" t="s">
        <v>119</v>
      </c>
      <c r="F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5" s="2" customFormat="1" ht="22.5" customHeight="1" x14ac:dyDescent="0.35">
      <c r="A3" s="25">
        <v>30</v>
      </c>
      <c r="F3" s="3"/>
      <c r="I3" s="50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5" s="13" customFormat="1" ht="15" customHeight="1" x14ac:dyDescent="0.3">
      <c r="A4" s="114" t="s">
        <v>40</v>
      </c>
      <c r="B4" s="123" t="s">
        <v>0</v>
      </c>
      <c r="C4" s="123" t="s">
        <v>1</v>
      </c>
      <c r="D4" s="123" t="s">
        <v>2</v>
      </c>
      <c r="E4" s="123" t="s">
        <v>3</v>
      </c>
      <c r="F4" s="113" t="s">
        <v>4</v>
      </c>
      <c r="G4" s="121" t="s">
        <v>55</v>
      </c>
      <c r="H4" s="30" t="s">
        <v>59</v>
      </c>
      <c r="I4" s="49"/>
      <c r="J4" s="49"/>
      <c r="K4" s="49"/>
      <c r="L4" s="49"/>
      <c r="M4" s="11" t="s">
        <v>5</v>
      </c>
      <c r="N4" s="10" t="s">
        <v>39</v>
      </c>
      <c r="O4" s="10" t="s">
        <v>6</v>
      </c>
      <c r="P4" s="1" t="s">
        <v>7</v>
      </c>
      <c r="Q4" s="1" t="s">
        <v>8</v>
      </c>
      <c r="R4" s="1"/>
      <c r="S4" s="10" t="s">
        <v>5</v>
      </c>
      <c r="T4" s="10" t="s">
        <v>39</v>
      </c>
      <c r="U4" s="10" t="s">
        <v>6</v>
      </c>
      <c r="V4" s="1" t="s">
        <v>7</v>
      </c>
      <c r="W4" s="1" t="s">
        <v>8</v>
      </c>
      <c r="X4" s="10" t="s">
        <v>5</v>
      </c>
      <c r="Y4" s="10"/>
      <c r="Z4" s="10"/>
      <c r="AA4" s="118" t="s">
        <v>9</v>
      </c>
      <c r="AB4" s="119"/>
      <c r="AC4" s="120"/>
      <c r="AD4" s="10" t="s">
        <v>10</v>
      </c>
      <c r="AE4" s="10" t="s">
        <v>11</v>
      </c>
      <c r="AF4" s="116" t="s">
        <v>12</v>
      </c>
      <c r="AG4" s="115" t="s">
        <v>13</v>
      </c>
      <c r="AH4" s="114" t="s">
        <v>48</v>
      </c>
      <c r="AI4" s="114" t="s">
        <v>47</v>
      </c>
    </row>
    <row r="5" spans="1:35" s="13" customFormat="1" ht="42.75" customHeight="1" x14ac:dyDescent="0.3">
      <c r="A5" s="114"/>
      <c r="B5" s="123"/>
      <c r="C5" s="123"/>
      <c r="D5" s="123"/>
      <c r="E5" s="123"/>
      <c r="F5" s="113" t="s">
        <v>14</v>
      </c>
      <c r="G5" s="122"/>
      <c r="H5" s="33" t="s">
        <v>60</v>
      </c>
      <c r="I5" s="33" t="s">
        <v>65</v>
      </c>
      <c r="J5" s="33" t="s">
        <v>120</v>
      </c>
      <c r="K5" s="33" t="s">
        <v>121</v>
      </c>
      <c r="L5" s="33" t="s">
        <v>122</v>
      </c>
      <c r="M5" s="88" t="s">
        <v>123</v>
      </c>
      <c r="N5" s="10" t="s">
        <v>15</v>
      </c>
      <c r="O5" s="10" t="s">
        <v>16</v>
      </c>
      <c r="P5" s="10" t="s">
        <v>16</v>
      </c>
      <c r="Q5" s="10" t="s">
        <v>17</v>
      </c>
      <c r="R5" s="10"/>
      <c r="S5" s="14" t="s">
        <v>114</v>
      </c>
      <c r="T5" s="10" t="s">
        <v>15</v>
      </c>
      <c r="U5" s="10" t="s">
        <v>16</v>
      </c>
      <c r="V5" s="10" t="s">
        <v>16</v>
      </c>
      <c r="W5" s="10" t="s">
        <v>17</v>
      </c>
      <c r="X5" s="10" t="s">
        <v>16</v>
      </c>
      <c r="Y5" s="14" t="s">
        <v>37</v>
      </c>
      <c r="Z5" s="14" t="s">
        <v>38</v>
      </c>
      <c r="AA5" s="10" t="s">
        <v>18</v>
      </c>
      <c r="AB5" s="10" t="s">
        <v>19</v>
      </c>
      <c r="AC5" s="10" t="s">
        <v>20</v>
      </c>
      <c r="AD5" s="10" t="s">
        <v>21</v>
      </c>
      <c r="AE5" s="10" t="s">
        <v>22</v>
      </c>
      <c r="AF5" s="117"/>
      <c r="AG5" s="115"/>
      <c r="AH5" s="114"/>
      <c r="AI5" s="114"/>
    </row>
    <row r="6" spans="1:35" s="13" customFormat="1" x14ac:dyDescent="0.3">
      <c r="A6" s="14"/>
      <c r="B6" s="10"/>
      <c r="C6" s="70"/>
      <c r="D6" s="70"/>
      <c r="E6" s="70"/>
      <c r="F6" s="32"/>
      <c r="G6" s="32"/>
      <c r="H6" s="32"/>
      <c r="I6" s="32"/>
      <c r="J6" s="32"/>
      <c r="K6" s="32"/>
      <c r="L6" s="32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4"/>
      <c r="Z6" s="14"/>
      <c r="AA6" s="10"/>
      <c r="AB6" s="10"/>
      <c r="AC6" s="10"/>
      <c r="AD6" s="10"/>
      <c r="AE6" s="10"/>
      <c r="AF6" s="15"/>
      <c r="AG6" s="15"/>
      <c r="AH6" s="15"/>
      <c r="AI6" s="52"/>
    </row>
    <row r="7" spans="1:35" ht="16.5" customHeight="1" x14ac:dyDescent="0.3">
      <c r="A7" s="16">
        <v>1</v>
      </c>
      <c r="B7" s="61" t="s">
        <v>115</v>
      </c>
      <c r="C7" s="20" t="s">
        <v>116</v>
      </c>
      <c r="D7" s="19">
        <v>34648</v>
      </c>
      <c r="E7" s="20" t="s">
        <v>117</v>
      </c>
      <c r="F7" s="62">
        <v>505</v>
      </c>
      <c r="G7" s="19">
        <v>45536</v>
      </c>
      <c r="H7" s="19" t="s">
        <v>23</v>
      </c>
      <c r="I7" s="19" t="s">
        <v>66</v>
      </c>
      <c r="J7" s="40">
        <v>1.5</v>
      </c>
      <c r="K7" s="40">
        <v>0</v>
      </c>
      <c r="L7" s="40">
        <v>26.5</v>
      </c>
      <c r="M7" s="82">
        <v>29.5</v>
      </c>
      <c r="N7" s="78">
        <v>36000</v>
      </c>
      <c r="O7" s="78">
        <v>28800</v>
      </c>
      <c r="P7" s="78">
        <v>7200</v>
      </c>
      <c r="Q7" s="65">
        <v>0</v>
      </c>
      <c r="R7" s="66">
        <f t="shared" ref="R7:R12" si="0">N7+O7+P7+Q7</f>
        <v>72000</v>
      </c>
      <c r="S7" s="60">
        <f t="shared" ref="S7:S12" si="1">R7</f>
        <v>72000</v>
      </c>
      <c r="T7" s="22">
        <f t="shared" ref="T7:T14" si="2">ROUND(N7/$A$3*M7,0)</f>
        <v>35400</v>
      </c>
      <c r="U7" s="22">
        <f t="shared" ref="U7:U14" si="3">ROUND(O7/$A$3*M7,0)</f>
        <v>28320</v>
      </c>
      <c r="V7" s="22">
        <f t="shared" ref="V7:V14" si="4">ROUND(P7/$A$3*M7,0)</f>
        <v>7080</v>
      </c>
      <c r="W7" s="62">
        <f t="shared" ref="W7:W14" si="5">ROUND(Q7/$A$3*M7,0)</f>
        <v>0</v>
      </c>
      <c r="X7" s="22">
        <f t="shared" ref="X7:X12" si="6">T7+U7+V7+W7</f>
        <v>70800</v>
      </c>
      <c r="Y7" s="22">
        <v>0</v>
      </c>
      <c r="Z7" s="22">
        <v>0</v>
      </c>
      <c r="AA7" s="22">
        <v>0</v>
      </c>
      <c r="AB7" s="60">
        <v>70800</v>
      </c>
      <c r="AC7" s="62">
        <v>0</v>
      </c>
      <c r="AD7" s="22">
        <f t="shared" ref="AD7:AD12" si="7">Y7+SUM(AA7:AC7)</f>
        <v>70800</v>
      </c>
      <c r="AE7" s="79">
        <f t="shared" ref="AE7:AE14" si="8">X7-AD7</f>
        <v>0</v>
      </c>
      <c r="AF7" s="84">
        <v>0</v>
      </c>
      <c r="AG7" s="84">
        <v>0</v>
      </c>
      <c r="AH7" s="24"/>
      <c r="AI7" s="53"/>
    </row>
    <row r="8" spans="1:35" ht="16.5" customHeight="1" x14ac:dyDescent="0.3">
      <c r="A8" s="16">
        <v>2</v>
      </c>
      <c r="B8" s="61" t="s">
        <v>31</v>
      </c>
      <c r="C8" s="20" t="s">
        <v>33</v>
      </c>
      <c r="D8" s="19">
        <v>29388</v>
      </c>
      <c r="E8" s="20" t="s">
        <v>34</v>
      </c>
      <c r="F8" s="62">
        <v>708</v>
      </c>
      <c r="G8" s="19">
        <v>45536</v>
      </c>
      <c r="H8" s="19" t="s">
        <v>23</v>
      </c>
      <c r="I8" s="19" t="s">
        <v>66</v>
      </c>
      <c r="J8" s="40">
        <v>0</v>
      </c>
      <c r="K8" s="40">
        <v>0</v>
      </c>
      <c r="L8" s="40">
        <v>26.5</v>
      </c>
      <c r="M8" s="82">
        <v>28</v>
      </c>
      <c r="N8" s="78">
        <v>27500</v>
      </c>
      <c r="O8" s="78">
        <v>22000</v>
      </c>
      <c r="P8" s="78">
        <v>5500</v>
      </c>
      <c r="Q8" s="65">
        <v>0</v>
      </c>
      <c r="R8" s="66">
        <f t="shared" ref="R8" si="9">N8+O8+P8+Q8</f>
        <v>55000</v>
      </c>
      <c r="S8" s="60">
        <f t="shared" ref="S8" si="10">R8</f>
        <v>55000</v>
      </c>
      <c r="T8" s="22">
        <f t="shared" ref="T8" si="11">ROUND(N8/$A$3*M8,0)</f>
        <v>25667</v>
      </c>
      <c r="U8" s="22">
        <f t="shared" ref="U8" si="12">ROUND(O8/$A$3*M8,0)</f>
        <v>20533</v>
      </c>
      <c r="V8" s="22">
        <f t="shared" ref="V8" si="13">ROUND(P8/$A$3*M8,0)</f>
        <v>5133</v>
      </c>
      <c r="W8" s="62">
        <f t="shared" ref="W8" si="14">ROUND(Q8/$A$3*M8,0)</f>
        <v>0</v>
      </c>
      <c r="X8" s="22">
        <f t="shared" ref="X8" si="15">T8+U8+V8+W8</f>
        <v>51333</v>
      </c>
      <c r="Y8" s="22">
        <v>0</v>
      </c>
      <c r="Z8" s="22">
        <v>0</v>
      </c>
      <c r="AA8" s="22">
        <v>0</v>
      </c>
      <c r="AB8" s="60">
        <v>20000</v>
      </c>
      <c r="AC8" s="62">
        <v>0</v>
      </c>
      <c r="AD8" s="22">
        <f t="shared" ref="AD8" si="16">Y8+SUM(AA8:AC8)</f>
        <v>20000</v>
      </c>
      <c r="AE8" s="79">
        <f t="shared" ref="AE8" si="17">X8-AD8</f>
        <v>31333</v>
      </c>
      <c r="AF8" s="84">
        <v>0</v>
      </c>
      <c r="AG8" s="84">
        <v>0</v>
      </c>
      <c r="AH8" s="24"/>
      <c r="AI8" s="53"/>
    </row>
    <row r="9" spans="1:35" ht="16.5" customHeight="1" x14ac:dyDescent="0.3">
      <c r="A9" s="16">
        <v>3</v>
      </c>
      <c r="B9" s="61" t="s">
        <v>32</v>
      </c>
      <c r="C9" s="20" t="s">
        <v>35</v>
      </c>
      <c r="D9" s="19">
        <v>35210</v>
      </c>
      <c r="E9" s="20" t="s">
        <v>36</v>
      </c>
      <c r="F9" s="62">
        <v>398</v>
      </c>
      <c r="G9" s="19">
        <v>45413</v>
      </c>
      <c r="H9" s="19" t="s">
        <v>23</v>
      </c>
      <c r="I9" s="19" t="s">
        <v>66</v>
      </c>
      <c r="J9" s="40">
        <v>4.5</v>
      </c>
      <c r="K9" s="40">
        <v>0</v>
      </c>
      <c r="L9" s="40">
        <v>30</v>
      </c>
      <c r="M9" s="82">
        <v>30</v>
      </c>
      <c r="N9" s="78">
        <v>27500</v>
      </c>
      <c r="O9" s="78">
        <v>22000</v>
      </c>
      <c r="P9" s="78">
        <v>5500</v>
      </c>
      <c r="Q9" s="65">
        <v>0</v>
      </c>
      <c r="R9" s="66">
        <f t="shared" si="0"/>
        <v>55000</v>
      </c>
      <c r="S9" s="60">
        <f t="shared" si="1"/>
        <v>55000</v>
      </c>
      <c r="T9" s="22">
        <f t="shared" si="2"/>
        <v>27500</v>
      </c>
      <c r="U9" s="22">
        <f t="shared" si="3"/>
        <v>22000</v>
      </c>
      <c r="V9" s="22">
        <f t="shared" si="4"/>
        <v>5500</v>
      </c>
      <c r="W9" s="62">
        <f t="shared" si="5"/>
        <v>0</v>
      </c>
      <c r="X9" s="22">
        <f t="shared" si="6"/>
        <v>55000</v>
      </c>
      <c r="Y9" s="22">
        <v>0</v>
      </c>
      <c r="Z9" s="22">
        <v>0</v>
      </c>
      <c r="AA9" s="22">
        <v>0</v>
      </c>
      <c r="AB9" s="60">
        <v>0</v>
      </c>
      <c r="AC9" s="62">
        <v>0</v>
      </c>
      <c r="AD9" s="22">
        <f t="shared" si="7"/>
        <v>0</v>
      </c>
      <c r="AE9" s="79">
        <f t="shared" si="8"/>
        <v>55000</v>
      </c>
      <c r="AF9" s="84">
        <v>5.5</v>
      </c>
      <c r="AG9" s="84">
        <v>0.5</v>
      </c>
      <c r="AH9" s="24"/>
      <c r="AI9" s="53"/>
    </row>
    <row r="10" spans="1:35" ht="17.25" customHeight="1" x14ac:dyDescent="0.3">
      <c r="A10" s="16">
        <v>4</v>
      </c>
      <c r="B10" s="63" t="s">
        <v>25</v>
      </c>
      <c r="C10" s="20" t="s">
        <v>26</v>
      </c>
      <c r="D10" s="76">
        <v>37508</v>
      </c>
      <c r="E10" s="20" t="s">
        <v>27</v>
      </c>
      <c r="F10" s="62">
        <v>418</v>
      </c>
      <c r="G10" s="19">
        <v>45390</v>
      </c>
      <c r="H10" s="19" t="s">
        <v>61</v>
      </c>
      <c r="I10" s="19" t="s">
        <v>66</v>
      </c>
      <c r="J10" s="40">
        <v>0</v>
      </c>
      <c r="K10" s="40">
        <v>0</v>
      </c>
      <c r="L10" s="40">
        <v>27.5</v>
      </c>
      <c r="M10" s="82">
        <v>29</v>
      </c>
      <c r="N10" s="16">
        <f>14950+1080</f>
        <v>16030</v>
      </c>
      <c r="O10" s="64">
        <v>11960</v>
      </c>
      <c r="P10" s="65">
        <f>2990-1080+100</f>
        <v>2010</v>
      </c>
      <c r="Q10" s="65">
        <v>0</v>
      </c>
      <c r="R10" s="66">
        <f t="shared" si="0"/>
        <v>30000</v>
      </c>
      <c r="S10" s="60">
        <f t="shared" si="1"/>
        <v>30000</v>
      </c>
      <c r="T10" s="22">
        <f t="shared" si="2"/>
        <v>15496</v>
      </c>
      <c r="U10" s="22">
        <f t="shared" si="3"/>
        <v>11561</v>
      </c>
      <c r="V10" s="22">
        <f t="shared" si="4"/>
        <v>1943</v>
      </c>
      <c r="W10" s="62">
        <f t="shared" si="5"/>
        <v>0</v>
      </c>
      <c r="X10" s="22">
        <f t="shared" si="6"/>
        <v>29000</v>
      </c>
      <c r="Y10" s="22">
        <v>0</v>
      </c>
      <c r="Z10" s="22">
        <v>0</v>
      </c>
      <c r="AA10" s="22">
        <v>0</v>
      </c>
      <c r="AB10" s="62">
        <v>0</v>
      </c>
      <c r="AC10" s="62">
        <v>0</v>
      </c>
      <c r="AD10" s="22">
        <f t="shared" si="7"/>
        <v>0</v>
      </c>
      <c r="AE10" s="79">
        <f t="shared" si="8"/>
        <v>29000</v>
      </c>
      <c r="AF10" s="85">
        <v>0</v>
      </c>
      <c r="AG10" s="84">
        <v>0</v>
      </c>
      <c r="AH10" s="24"/>
      <c r="AI10" s="81"/>
    </row>
    <row r="11" spans="1:35" ht="17.25" customHeight="1" x14ac:dyDescent="0.3">
      <c r="A11" s="16">
        <v>5</v>
      </c>
      <c r="B11" s="63" t="s">
        <v>28</v>
      </c>
      <c r="C11" s="20" t="s">
        <v>30</v>
      </c>
      <c r="D11" s="76">
        <v>37167</v>
      </c>
      <c r="E11" s="20" t="s">
        <v>29</v>
      </c>
      <c r="F11" s="62">
        <v>345</v>
      </c>
      <c r="G11" s="19">
        <v>45474</v>
      </c>
      <c r="H11" s="19" t="s">
        <v>101</v>
      </c>
      <c r="I11" s="19" t="s">
        <v>67</v>
      </c>
      <c r="J11" s="40">
        <v>16.5</v>
      </c>
      <c r="K11" s="40">
        <v>1</v>
      </c>
      <c r="L11" s="40">
        <v>29.5</v>
      </c>
      <c r="M11" s="82">
        <v>30</v>
      </c>
      <c r="N11" s="16">
        <v>17400</v>
      </c>
      <c r="O11" s="64">
        <v>13920</v>
      </c>
      <c r="P11" s="65">
        <v>3480</v>
      </c>
      <c r="Q11" s="65">
        <v>0</v>
      </c>
      <c r="R11" s="66">
        <f t="shared" si="0"/>
        <v>34800</v>
      </c>
      <c r="S11" s="60">
        <f t="shared" si="1"/>
        <v>34800</v>
      </c>
      <c r="T11" s="22">
        <f t="shared" si="2"/>
        <v>17400</v>
      </c>
      <c r="U11" s="22">
        <f t="shared" si="3"/>
        <v>13920</v>
      </c>
      <c r="V11" s="22">
        <f t="shared" si="4"/>
        <v>3480</v>
      </c>
      <c r="W11" s="62">
        <f t="shared" si="5"/>
        <v>0</v>
      </c>
      <c r="X11" s="22">
        <f t="shared" si="6"/>
        <v>34800</v>
      </c>
      <c r="Y11" s="22">
        <f>ROUND(IF(N11&gt;15000,(15000/$A$3*M11)*12%,T11*12%)*1,0)</f>
        <v>1800</v>
      </c>
      <c r="Z11" s="22">
        <f>Y11</f>
        <v>1800</v>
      </c>
      <c r="AA11" s="22">
        <v>0</v>
      </c>
      <c r="AB11" s="62">
        <v>0</v>
      </c>
      <c r="AC11" s="62">
        <v>0</v>
      </c>
      <c r="AD11" s="22">
        <f t="shared" si="7"/>
        <v>1800</v>
      </c>
      <c r="AE11" s="79">
        <f t="shared" si="8"/>
        <v>33000</v>
      </c>
      <c r="AF11" s="85">
        <v>17.5</v>
      </c>
      <c r="AG11" s="84">
        <v>1</v>
      </c>
      <c r="AH11" s="24"/>
      <c r="AI11" s="53"/>
    </row>
    <row r="12" spans="1:35" ht="17.25" customHeight="1" x14ac:dyDescent="0.3">
      <c r="A12" s="16">
        <v>6</v>
      </c>
      <c r="B12" s="63" t="s">
        <v>41</v>
      </c>
      <c r="C12" s="20" t="s">
        <v>42</v>
      </c>
      <c r="D12" s="19">
        <v>37910</v>
      </c>
      <c r="E12" s="20" t="s">
        <v>43</v>
      </c>
      <c r="F12" s="62">
        <v>239</v>
      </c>
      <c r="G12" s="19">
        <v>45658</v>
      </c>
      <c r="H12" s="19" t="s">
        <v>101</v>
      </c>
      <c r="I12" s="19" t="s">
        <v>67</v>
      </c>
      <c r="J12" s="40">
        <v>3</v>
      </c>
      <c r="K12" s="40">
        <v>0</v>
      </c>
      <c r="L12" s="40">
        <v>24.5</v>
      </c>
      <c r="M12" s="82">
        <v>29</v>
      </c>
      <c r="N12" s="16">
        <f>13580+2450</f>
        <v>16030</v>
      </c>
      <c r="O12" s="64">
        <v>10800</v>
      </c>
      <c r="P12" s="65">
        <f>2620-2450</f>
        <v>170</v>
      </c>
      <c r="Q12" s="65">
        <v>0</v>
      </c>
      <c r="R12" s="66">
        <f t="shared" si="0"/>
        <v>27000</v>
      </c>
      <c r="S12" s="60">
        <f t="shared" si="1"/>
        <v>27000</v>
      </c>
      <c r="T12" s="22">
        <f t="shared" si="2"/>
        <v>15496</v>
      </c>
      <c r="U12" s="22">
        <f t="shared" si="3"/>
        <v>10440</v>
      </c>
      <c r="V12" s="22">
        <f t="shared" si="4"/>
        <v>164</v>
      </c>
      <c r="W12" s="62">
        <f t="shared" si="5"/>
        <v>0</v>
      </c>
      <c r="X12" s="22">
        <f t="shared" si="6"/>
        <v>26100</v>
      </c>
      <c r="Y12" s="22">
        <f>ROUND(IF(N12&gt;15000,(15000/$A$3*M12)*12%,T12*12%)*1,0)</f>
        <v>1740</v>
      </c>
      <c r="Z12" s="22">
        <f>Y12</f>
        <v>1740</v>
      </c>
      <c r="AA12" s="22">
        <v>0</v>
      </c>
      <c r="AB12" s="62">
        <v>0</v>
      </c>
      <c r="AC12" s="62">
        <v>0</v>
      </c>
      <c r="AD12" s="22">
        <f t="shared" si="7"/>
        <v>1740</v>
      </c>
      <c r="AE12" s="79">
        <f t="shared" si="8"/>
        <v>24360</v>
      </c>
      <c r="AF12" s="85">
        <v>0</v>
      </c>
      <c r="AG12" s="84">
        <v>0</v>
      </c>
      <c r="AH12" s="24"/>
      <c r="AI12" s="53"/>
    </row>
    <row r="13" spans="1:35" ht="17.25" customHeight="1" x14ac:dyDescent="0.3">
      <c r="A13" s="16">
        <v>7</v>
      </c>
      <c r="B13" s="63" t="s">
        <v>44</v>
      </c>
      <c r="C13" s="20" t="s">
        <v>45</v>
      </c>
      <c r="D13" s="19">
        <v>38156</v>
      </c>
      <c r="E13" s="20" t="s">
        <v>46</v>
      </c>
      <c r="F13" s="62">
        <v>124</v>
      </c>
      <c r="G13" s="19">
        <v>45770</v>
      </c>
      <c r="H13" s="19">
        <v>45770</v>
      </c>
      <c r="I13" s="19" t="s">
        <v>67</v>
      </c>
      <c r="J13" s="40">
        <v>7</v>
      </c>
      <c r="K13" s="40">
        <v>0</v>
      </c>
      <c r="L13" s="40">
        <v>28</v>
      </c>
      <c r="M13" s="82">
        <v>30</v>
      </c>
      <c r="N13" s="16">
        <f>13580+2450</f>
        <v>16030</v>
      </c>
      <c r="O13" s="64">
        <v>10800</v>
      </c>
      <c r="P13" s="65">
        <f>2620-2450</f>
        <v>170</v>
      </c>
      <c r="Q13" s="65">
        <v>0</v>
      </c>
      <c r="R13" s="66">
        <f t="shared" ref="R13:R14" si="18">N13+O13+P13+Q13</f>
        <v>27000</v>
      </c>
      <c r="S13" s="60">
        <f t="shared" ref="S13:S14" si="19">R13</f>
        <v>27000</v>
      </c>
      <c r="T13" s="22">
        <f t="shared" si="2"/>
        <v>16030</v>
      </c>
      <c r="U13" s="22">
        <f t="shared" si="3"/>
        <v>10800</v>
      </c>
      <c r="V13" s="22">
        <f t="shared" si="4"/>
        <v>170</v>
      </c>
      <c r="W13" s="62">
        <f t="shared" si="5"/>
        <v>0</v>
      </c>
      <c r="X13" s="22">
        <f t="shared" ref="X13" si="20">T13+U13+V13+W13</f>
        <v>27000</v>
      </c>
      <c r="Y13" s="22">
        <f>ROUND(IF(N13&gt;15000,(15000/$A$3*M13)*12%,T13*12%)*1,0)</f>
        <v>1800</v>
      </c>
      <c r="Z13" s="22">
        <f t="shared" ref="Z13" si="21">Y13</f>
        <v>1800</v>
      </c>
      <c r="AA13" s="22">
        <v>0</v>
      </c>
      <c r="AB13" s="62">
        <v>0</v>
      </c>
      <c r="AC13" s="62">
        <v>0</v>
      </c>
      <c r="AD13" s="22">
        <f t="shared" ref="AD13" si="22">Y13+SUM(AA13:AC13)</f>
        <v>1800</v>
      </c>
      <c r="AE13" s="79">
        <f t="shared" si="8"/>
        <v>25200</v>
      </c>
      <c r="AF13" s="85">
        <v>6.5</v>
      </c>
      <c r="AG13" s="84">
        <v>0</v>
      </c>
      <c r="AH13" s="44"/>
      <c r="AI13" s="54"/>
    </row>
    <row r="14" spans="1:35" ht="17.25" customHeight="1" x14ac:dyDescent="0.3">
      <c r="A14" s="16">
        <v>8</v>
      </c>
      <c r="B14" s="63" t="s">
        <v>50</v>
      </c>
      <c r="C14" s="20" t="s">
        <v>52</v>
      </c>
      <c r="D14" s="19">
        <v>35821</v>
      </c>
      <c r="E14" s="20" t="s">
        <v>54</v>
      </c>
      <c r="F14" s="62">
        <v>169</v>
      </c>
      <c r="G14" s="19">
        <v>45791</v>
      </c>
      <c r="H14" s="19">
        <v>45791</v>
      </c>
      <c r="I14" s="19" t="s">
        <v>66</v>
      </c>
      <c r="J14" s="40">
        <v>7.5</v>
      </c>
      <c r="K14" s="40">
        <v>0</v>
      </c>
      <c r="L14" s="40">
        <v>29</v>
      </c>
      <c r="M14" s="82">
        <v>30</v>
      </c>
      <c r="N14" s="16">
        <v>16500</v>
      </c>
      <c r="O14" s="64">
        <v>13200</v>
      </c>
      <c r="P14" s="65">
        <v>3300</v>
      </c>
      <c r="Q14" s="65">
        <v>0</v>
      </c>
      <c r="R14" s="66">
        <f t="shared" si="18"/>
        <v>33000</v>
      </c>
      <c r="S14" s="60">
        <f t="shared" si="19"/>
        <v>33000</v>
      </c>
      <c r="T14" s="22">
        <f t="shared" si="2"/>
        <v>16500</v>
      </c>
      <c r="U14" s="22">
        <f t="shared" si="3"/>
        <v>13200</v>
      </c>
      <c r="V14" s="22">
        <f t="shared" si="4"/>
        <v>3300</v>
      </c>
      <c r="W14" s="62">
        <f t="shared" si="5"/>
        <v>0</v>
      </c>
      <c r="X14" s="22">
        <f t="shared" ref="X14" si="23">T14+U14+V14+W14</f>
        <v>33000</v>
      </c>
      <c r="Y14" s="22">
        <f>ROUND(IF(N14&gt;15000,(15000/$A$3*M14)*12%,T14*12%)*1,0)</f>
        <v>1800</v>
      </c>
      <c r="Z14" s="22">
        <f t="shared" ref="Z14" si="24">Y14</f>
        <v>1800</v>
      </c>
      <c r="AA14" s="22">
        <v>0</v>
      </c>
      <c r="AB14" s="62">
        <v>0</v>
      </c>
      <c r="AC14" s="62">
        <v>0</v>
      </c>
      <c r="AD14" s="22">
        <f t="shared" ref="AD14" si="25">Y14+SUM(AA14:AC14)</f>
        <v>1800</v>
      </c>
      <c r="AE14" s="79">
        <f t="shared" si="8"/>
        <v>31200</v>
      </c>
      <c r="AF14" s="85">
        <v>8</v>
      </c>
      <c r="AG14" s="84">
        <v>0</v>
      </c>
      <c r="AH14" s="44"/>
      <c r="AI14" s="54"/>
    </row>
    <row r="15" spans="1:35" ht="17.25" customHeight="1" x14ac:dyDescent="0.3">
      <c r="A15" s="16">
        <v>9</v>
      </c>
      <c r="B15" s="63" t="s">
        <v>49</v>
      </c>
      <c r="C15" s="20" t="s">
        <v>51</v>
      </c>
      <c r="D15" s="19">
        <v>37341</v>
      </c>
      <c r="E15" s="20" t="s">
        <v>53</v>
      </c>
      <c r="F15" s="62">
        <v>167</v>
      </c>
      <c r="G15" s="19">
        <v>45791</v>
      </c>
      <c r="H15" s="19">
        <v>45793</v>
      </c>
      <c r="I15" s="19" t="s">
        <v>67</v>
      </c>
      <c r="J15" s="40">
        <v>8</v>
      </c>
      <c r="K15" s="40">
        <v>0.5</v>
      </c>
      <c r="L15" s="40">
        <v>29.5</v>
      </c>
      <c r="M15" s="82">
        <v>30</v>
      </c>
      <c r="N15" s="16">
        <f>13580+2450</f>
        <v>16030</v>
      </c>
      <c r="O15" s="64">
        <f>10400-2450+2020</f>
        <v>9970</v>
      </c>
      <c r="P15" s="65">
        <v>0</v>
      </c>
      <c r="Q15" s="65">
        <v>0</v>
      </c>
      <c r="R15" s="66">
        <f t="shared" ref="R15:R16" si="26">N15+O15+P15+Q15</f>
        <v>26000</v>
      </c>
      <c r="S15" s="60">
        <f t="shared" ref="S15:S16" si="27">R15</f>
        <v>26000</v>
      </c>
      <c r="T15" s="22">
        <f t="shared" ref="T15" si="28">ROUND(N15/$A$3*M15,0)</f>
        <v>16030</v>
      </c>
      <c r="U15" s="22">
        <f t="shared" ref="U15" si="29">ROUND(O15/$A$3*M15,0)</f>
        <v>9970</v>
      </c>
      <c r="V15" s="22">
        <f t="shared" ref="V15" si="30">ROUND(P15/$A$3*M15,0)</f>
        <v>0</v>
      </c>
      <c r="W15" s="62">
        <f t="shared" ref="W15" si="31">ROUND(Q15/$A$3*M15,0)</f>
        <v>0</v>
      </c>
      <c r="X15" s="22">
        <f t="shared" ref="X15" si="32">T15+U15+V15+W15</f>
        <v>26000</v>
      </c>
      <c r="Y15" s="22">
        <v>0</v>
      </c>
      <c r="Z15" s="22">
        <f t="shared" ref="Z15:Z16" si="33">Y15</f>
        <v>0</v>
      </c>
      <c r="AA15" s="22">
        <v>0</v>
      </c>
      <c r="AB15" s="62">
        <v>0</v>
      </c>
      <c r="AC15" s="62">
        <v>0</v>
      </c>
      <c r="AD15" s="22">
        <f t="shared" ref="AD15" si="34">Y15+SUM(AA15:AC15)</f>
        <v>0</v>
      </c>
      <c r="AE15" s="79">
        <f t="shared" ref="AE15" si="35">X15-AD15</f>
        <v>26000</v>
      </c>
      <c r="AF15" s="85">
        <v>9</v>
      </c>
      <c r="AG15" s="84">
        <v>0.5</v>
      </c>
      <c r="AH15" s="44"/>
      <c r="AI15" s="54"/>
    </row>
    <row r="16" spans="1:35" s="23" customFormat="1" ht="17.25" customHeight="1" x14ac:dyDescent="0.3">
      <c r="A16" s="16">
        <v>10</v>
      </c>
      <c r="B16" s="63" t="s">
        <v>56</v>
      </c>
      <c r="C16" s="20" t="s">
        <v>57</v>
      </c>
      <c r="D16" s="19">
        <v>37238</v>
      </c>
      <c r="E16" s="20" t="s">
        <v>58</v>
      </c>
      <c r="F16" s="62">
        <v>481</v>
      </c>
      <c r="G16" s="19">
        <v>45809</v>
      </c>
      <c r="H16" s="19">
        <v>45819</v>
      </c>
      <c r="I16" s="19" t="s">
        <v>67</v>
      </c>
      <c r="J16" s="40">
        <v>4</v>
      </c>
      <c r="K16" s="40">
        <v>0.5</v>
      </c>
      <c r="L16" s="40">
        <v>29.5</v>
      </c>
      <c r="M16" s="82">
        <v>30</v>
      </c>
      <c r="N16" s="67">
        <f>13580+2450</f>
        <v>16030</v>
      </c>
      <c r="O16" s="68">
        <f>9216-2450+244</f>
        <v>7010</v>
      </c>
      <c r="P16" s="45">
        <v>0</v>
      </c>
      <c r="Q16" s="45">
        <v>0</v>
      </c>
      <c r="R16" s="66">
        <f t="shared" si="26"/>
        <v>23040</v>
      </c>
      <c r="S16" s="60">
        <f t="shared" si="27"/>
        <v>23040</v>
      </c>
      <c r="T16" s="22">
        <f t="shared" ref="T16" si="36">ROUND(N16/$A$3*M16,0)</f>
        <v>16030</v>
      </c>
      <c r="U16" s="22">
        <f t="shared" ref="U16" si="37">ROUND(O16/$A$3*M16,0)</f>
        <v>7010</v>
      </c>
      <c r="V16" s="22">
        <f t="shared" ref="V16" si="38">ROUND(P16/$A$3*M16,0)</f>
        <v>0</v>
      </c>
      <c r="W16" s="62">
        <f t="shared" ref="W16" si="39">ROUND(Q16/$A$3*M16,0)</f>
        <v>0</v>
      </c>
      <c r="X16" s="22">
        <f t="shared" ref="X16" si="40">T16+U16+V16+W16</f>
        <v>23040</v>
      </c>
      <c r="Y16" s="22">
        <f t="shared" ref="Y16" si="41">ROUND(IF(N16&gt;15000,(15000/$A$3*M16)*12%,T16*12%)*1,0)</f>
        <v>1800</v>
      </c>
      <c r="Z16" s="22">
        <f t="shared" si="33"/>
        <v>1800</v>
      </c>
      <c r="AA16" s="22">
        <v>0</v>
      </c>
      <c r="AB16" s="62">
        <v>0</v>
      </c>
      <c r="AC16" s="62">
        <v>0</v>
      </c>
      <c r="AD16" s="22">
        <f t="shared" ref="AD16" si="42">Y16+SUM(AA16:AC16)</f>
        <v>1800</v>
      </c>
      <c r="AE16" s="79">
        <f t="shared" ref="AE16" si="43">X16-AD16</f>
        <v>21240</v>
      </c>
      <c r="AF16" s="85">
        <v>5</v>
      </c>
      <c r="AG16" s="84">
        <v>0.5</v>
      </c>
      <c r="AH16" s="44"/>
      <c r="AI16" s="54"/>
    </row>
    <row r="17" spans="1:35" ht="17.25" customHeight="1" x14ac:dyDescent="0.3">
      <c r="A17" s="16">
        <v>11</v>
      </c>
      <c r="B17" s="28" t="s">
        <v>62</v>
      </c>
      <c r="C17" s="74" t="s">
        <v>63</v>
      </c>
      <c r="D17" s="77">
        <v>30251</v>
      </c>
      <c r="E17" s="75" t="s">
        <v>64</v>
      </c>
      <c r="F17" s="58">
        <v>1043</v>
      </c>
      <c r="G17" s="27">
        <v>45839</v>
      </c>
      <c r="H17" s="27" t="s">
        <v>23</v>
      </c>
      <c r="I17" s="19" t="s">
        <v>66</v>
      </c>
      <c r="J17" s="89">
        <v>17.5</v>
      </c>
      <c r="K17" s="89">
        <v>0</v>
      </c>
      <c r="L17" s="89">
        <v>30</v>
      </c>
      <c r="M17" s="83">
        <v>30</v>
      </c>
      <c r="N17" s="45">
        <v>45000</v>
      </c>
      <c r="O17" s="45">
        <v>36000</v>
      </c>
      <c r="P17" s="45">
        <v>9000</v>
      </c>
      <c r="Q17" s="45">
        <v>0</v>
      </c>
      <c r="R17" s="66">
        <f t="shared" ref="R17:R20" si="44">N17+O17+P17+Q17</f>
        <v>90000</v>
      </c>
      <c r="S17" s="26">
        <f t="shared" ref="S17:S20" si="45">R17</f>
        <v>90000</v>
      </c>
      <c r="T17" s="42">
        <f t="shared" ref="T17" si="46">ROUND(N17/$A$3*M17,0)</f>
        <v>45000</v>
      </c>
      <c r="U17" s="42">
        <f t="shared" ref="U17" si="47">ROUND(O17/$A$3*M17,0)</f>
        <v>36000</v>
      </c>
      <c r="V17" s="42">
        <f t="shared" ref="V17" si="48">ROUND(P17/$A$3*M17,0)</f>
        <v>9000</v>
      </c>
      <c r="W17" s="43">
        <f t="shared" ref="W17" si="49">ROUND(Q17/$A$3*M17,0)</f>
        <v>0</v>
      </c>
      <c r="X17" s="42">
        <f t="shared" ref="X17" si="50">T17+U17+V17+W17</f>
        <v>90000</v>
      </c>
      <c r="Y17" s="42">
        <v>0</v>
      </c>
      <c r="Z17" s="42">
        <v>0</v>
      </c>
      <c r="AA17" s="42">
        <v>0</v>
      </c>
      <c r="AB17" s="43">
        <v>0</v>
      </c>
      <c r="AC17" s="43">
        <v>0</v>
      </c>
      <c r="AD17" s="22">
        <f t="shared" ref="AD17:AD20" si="51">Y17+SUM(AA17:AC17)</f>
        <v>0</v>
      </c>
      <c r="AE17" s="80">
        <f t="shared" ref="AE17" si="52">X17-AD17</f>
        <v>90000</v>
      </c>
      <c r="AF17" s="86">
        <v>18.5</v>
      </c>
      <c r="AG17" s="87">
        <v>0.5</v>
      </c>
      <c r="AH17" s="59"/>
      <c r="AI17" s="55"/>
    </row>
    <row r="18" spans="1:35" ht="17.25" customHeight="1" x14ac:dyDescent="0.3">
      <c r="A18" s="16">
        <v>12</v>
      </c>
      <c r="B18" s="28" t="s">
        <v>68</v>
      </c>
      <c r="C18" s="74" t="s">
        <v>69</v>
      </c>
      <c r="D18" s="77">
        <v>36844</v>
      </c>
      <c r="E18" s="75" t="s">
        <v>70</v>
      </c>
      <c r="F18" s="58">
        <v>1066</v>
      </c>
      <c r="G18" s="27">
        <v>45887</v>
      </c>
      <c r="H18" s="27">
        <v>45887</v>
      </c>
      <c r="I18" s="19" t="s">
        <v>67</v>
      </c>
      <c r="J18" s="89">
        <v>6</v>
      </c>
      <c r="K18" s="89">
        <v>0.5</v>
      </c>
      <c r="L18" s="89">
        <v>29</v>
      </c>
      <c r="M18" s="83">
        <v>30</v>
      </c>
      <c r="N18" s="67">
        <f>13580+2450</f>
        <v>16030</v>
      </c>
      <c r="O18" s="68">
        <f>9216-2450+244</f>
        <v>7010</v>
      </c>
      <c r="P18" s="45">
        <v>0</v>
      </c>
      <c r="Q18" s="45">
        <v>0</v>
      </c>
      <c r="R18" s="66">
        <f t="shared" si="44"/>
        <v>23040</v>
      </c>
      <c r="S18" s="26">
        <f t="shared" si="45"/>
        <v>23040</v>
      </c>
      <c r="T18" s="22">
        <f t="shared" ref="T18:T20" si="53">ROUND(N18/$A$3*M18,0)</f>
        <v>16030</v>
      </c>
      <c r="U18" s="22">
        <f t="shared" ref="U18:U20" si="54">ROUND(O18/$A$3*M18,0)</f>
        <v>7010</v>
      </c>
      <c r="V18" s="22">
        <f t="shared" ref="V18:V20" si="55">ROUND(P18/$A$3*M18,0)</f>
        <v>0</v>
      </c>
      <c r="W18" s="62">
        <f t="shared" ref="W18:W20" si="56">ROUND(Q18/$A$3*M18,0)</f>
        <v>0</v>
      </c>
      <c r="X18" s="22">
        <f t="shared" ref="X18:X20" si="57">T18+U18+V18+W18</f>
        <v>23040</v>
      </c>
      <c r="Y18" s="22">
        <f t="shared" ref="Y18:Y19" si="58">ROUND(IF(N18&gt;15000,(15000/$A$3*M18)*12%,T18*12%)*1,0)</f>
        <v>1800</v>
      </c>
      <c r="Z18" s="22">
        <f t="shared" ref="Z18:Z20" si="59">Y18</f>
        <v>1800</v>
      </c>
      <c r="AA18" s="22">
        <v>0</v>
      </c>
      <c r="AB18" s="62">
        <v>0</v>
      </c>
      <c r="AC18" s="62">
        <v>0</v>
      </c>
      <c r="AD18" s="22">
        <f t="shared" si="51"/>
        <v>1800</v>
      </c>
      <c r="AE18" s="79">
        <f t="shared" ref="AE18:AE20" si="60">X18-AD18</f>
        <v>21240</v>
      </c>
      <c r="AF18" s="86">
        <v>7</v>
      </c>
      <c r="AG18" s="87">
        <v>0</v>
      </c>
      <c r="AH18" s="59"/>
      <c r="AI18" s="55"/>
    </row>
    <row r="19" spans="1:35" ht="17.25" customHeight="1" x14ac:dyDescent="0.3">
      <c r="A19" s="16">
        <v>13</v>
      </c>
      <c r="B19" s="90" t="s">
        <v>71</v>
      </c>
      <c r="C19" s="74" t="s">
        <v>76</v>
      </c>
      <c r="D19" s="77">
        <v>37270</v>
      </c>
      <c r="E19" s="75" t="s">
        <v>72</v>
      </c>
      <c r="F19" s="58">
        <v>1063</v>
      </c>
      <c r="G19" s="27">
        <v>45887</v>
      </c>
      <c r="H19" s="27">
        <v>45887</v>
      </c>
      <c r="I19" s="19" t="s">
        <v>67</v>
      </c>
      <c r="J19" s="89">
        <v>6.5</v>
      </c>
      <c r="K19" s="89">
        <v>1</v>
      </c>
      <c r="L19" s="89">
        <v>29.5</v>
      </c>
      <c r="M19" s="83">
        <v>30</v>
      </c>
      <c r="N19" s="16">
        <f>13580+2450</f>
        <v>16030</v>
      </c>
      <c r="O19" s="64">
        <f>9396-2450+514+10</f>
        <v>7470</v>
      </c>
      <c r="P19" s="45">
        <v>0</v>
      </c>
      <c r="Q19" s="45">
        <v>0</v>
      </c>
      <c r="R19" s="66">
        <f t="shared" si="44"/>
        <v>23500</v>
      </c>
      <c r="S19" s="26">
        <f t="shared" si="45"/>
        <v>23500</v>
      </c>
      <c r="T19" s="22">
        <f t="shared" si="53"/>
        <v>16030</v>
      </c>
      <c r="U19" s="22">
        <f t="shared" si="54"/>
        <v>7470</v>
      </c>
      <c r="V19" s="22">
        <f t="shared" si="55"/>
        <v>0</v>
      </c>
      <c r="W19" s="62">
        <f t="shared" si="56"/>
        <v>0</v>
      </c>
      <c r="X19" s="22">
        <f t="shared" si="57"/>
        <v>23500</v>
      </c>
      <c r="Y19" s="22">
        <f t="shared" si="58"/>
        <v>1800</v>
      </c>
      <c r="Z19" s="22">
        <f t="shared" si="59"/>
        <v>1800</v>
      </c>
      <c r="AA19" s="22">
        <v>0</v>
      </c>
      <c r="AB19" s="62">
        <v>0</v>
      </c>
      <c r="AC19" s="62">
        <v>0</v>
      </c>
      <c r="AD19" s="22">
        <f t="shared" si="51"/>
        <v>1800</v>
      </c>
      <c r="AE19" s="79">
        <f t="shared" si="60"/>
        <v>21700</v>
      </c>
      <c r="AF19" s="86">
        <v>7.5</v>
      </c>
      <c r="AG19" s="87">
        <v>1</v>
      </c>
      <c r="AH19" s="59"/>
      <c r="AI19" s="55"/>
    </row>
    <row r="20" spans="1:35" ht="17.25" customHeight="1" x14ac:dyDescent="0.3">
      <c r="A20" s="16">
        <v>14</v>
      </c>
      <c r="B20" s="28" t="s">
        <v>73</v>
      </c>
      <c r="C20" s="74" t="s">
        <v>74</v>
      </c>
      <c r="D20" s="77">
        <v>38119</v>
      </c>
      <c r="E20" s="75" t="s">
        <v>75</v>
      </c>
      <c r="F20" s="58">
        <v>1061</v>
      </c>
      <c r="G20" s="27">
        <v>45888</v>
      </c>
      <c r="H20" s="27">
        <v>45888</v>
      </c>
      <c r="I20" s="19" t="s">
        <v>67</v>
      </c>
      <c r="J20" s="89">
        <v>0.5</v>
      </c>
      <c r="K20" s="89">
        <v>0</v>
      </c>
      <c r="L20" s="89">
        <v>30</v>
      </c>
      <c r="M20" s="83">
        <v>30</v>
      </c>
      <c r="N20" s="45">
        <f>13580+2450</f>
        <v>16030</v>
      </c>
      <c r="O20" s="45">
        <f>6180-2450</f>
        <v>3730</v>
      </c>
      <c r="P20" s="45">
        <v>0</v>
      </c>
      <c r="Q20" s="45">
        <v>0</v>
      </c>
      <c r="R20" s="66">
        <f t="shared" si="44"/>
        <v>19760</v>
      </c>
      <c r="S20" s="26">
        <f t="shared" si="45"/>
        <v>19760</v>
      </c>
      <c r="T20" s="22">
        <f t="shared" si="53"/>
        <v>16030</v>
      </c>
      <c r="U20" s="22">
        <f t="shared" si="54"/>
        <v>3730</v>
      </c>
      <c r="V20" s="22">
        <f t="shared" si="55"/>
        <v>0</v>
      </c>
      <c r="W20" s="62">
        <f t="shared" si="56"/>
        <v>0</v>
      </c>
      <c r="X20" s="22">
        <f t="shared" si="57"/>
        <v>19760</v>
      </c>
      <c r="Y20" s="22">
        <v>0</v>
      </c>
      <c r="Z20" s="22">
        <f t="shared" si="59"/>
        <v>0</v>
      </c>
      <c r="AA20" s="22">
        <f t="shared" ref="AA20" si="61">ROUND(X20*0.75%,0)</f>
        <v>148</v>
      </c>
      <c r="AB20" s="62">
        <v>0</v>
      </c>
      <c r="AC20" s="62">
        <v>0</v>
      </c>
      <c r="AD20" s="22">
        <f t="shared" si="51"/>
        <v>148</v>
      </c>
      <c r="AE20" s="79">
        <f t="shared" si="60"/>
        <v>19612</v>
      </c>
      <c r="AF20" s="86">
        <v>1.5</v>
      </c>
      <c r="AG20" s="87">
        <v>0.5</v>
      </c>
      <c r="AH20" s="59"/>
      <c r="AI20" s="81"/>
    </row>
    <row r="21" spans="1:35" ht="17.25" customHeight="1" x14ac:dyDescent="0.3">
      <c r="A21" s="16">
        <v>15</v>
      </c>
      <c r="B21" s="28" t="s">
        <v>77</v>
      </c>
      <c r="C21" s="74" t="s">
        <v>78</v>
      </c>
      <c r="D21" s="77">
        <v>35623</v>
      </c>
      <c r="E21" s="75" t="s">
        <v>79</v>
      </c>
      <c r="F21" s="58">
        <v>1096</v>
      </c>
      <c r="G21" s="27">
        <v>45902</v>
      </c>
      <c r="H21" s="27">
        <v>45902</v>
      </c>
      <c r="I21" s="19" t="s">
        <v>66</v>
      </c>
      <c r="J21" s="89">
        <v>4.5</v>
      </c>
      <c r="K21" s="89">
        <v>0</v>
      </c>
      <c r="L21" s="89">
        <v>29</v>
      </c>
      <c r="M21" s="83">
        <v>30</v>
      </c>
      <c r="N21" s="45">
        <v>19500</v>
      </c>
      <c r="O21" s="45">
        <v>15600</v>
      </c>
      <c r="P21" s="45">
        <v>3900</v>
      </c>
      <c r="Q21" s="45">
        <v>0</v>
      </c>
      <c r="R21" s="66">
        <f t="shared" ref="R21:R22" si="62">N21+O21+P21+Q21</f>
        <v>39000</v>
      </c>
      <c r="S21" s="26">
        <f t="shared" ref="S21:S22" si="63">R21</f>
        <v>39000</v>
      </c>
      <c r="T21" s="42">
        <f t="shared" ref="T21:T22" si="64">ROUND(N21/$A$3*M21,0)</f>
        <v>19500</v>
      </c>
      <c r="U21" s="42">
        <f t="shared" ref="U21:U22" si="65">ROUND(O21/$A$3*M21,0)</f>
        <v>15600</v>
      </c>
      <c r="V21" s="42">
        <f t="shared" ref="V21:V22" si="66">ROUND(P21/$A$3*M21,0)</f>
        <v>3900</v>
      </c>
      <c r="W21" s="43">
        <f t="shared" ref="W21:W22" si="67">ROUND(Q21/$A$3*M21,0)</f>
        <v>0</v>
      </c>
      <c r="X21" s="42">
        <f t="shared" ref="X21:X22" si="68">T21+U21+V21+W21</f>
        <v>39000</v>
      </c>
      <c r="Y21" s="42">
        <v>0</v>
      </c>
      <c r="Z21" s="42">
        <f t="shared" ref="Z21:Z22" si="69">Y21</f>
        <v>0</v>
      </c>
      <c r="AA21" s="42">
        <v>0</v>
      </c>
      <c r="AB21" s="43">
        <v>0</v>
      </c>
      <c r="AC21" s="43">
        <v>0</v>
      </c>
      <c r="AD21" s="42">
        <f t="shared" ref="AD21:AD22" si="70">Y21+SUM(AA21:AC21)</f>
        <v>0</v>
      </c>
      <c r="AE21" s="80">
        <f t="shared" ref="AE21:AE22" si="71">X21-AD21</f>
        <v>39000</v>
      </c>
      <c r="AF21" s="86">
        <v>5</v>
      </c>
      <c r="AG21" s="87">
        <v>0</v>
      </c>
      <c r="AH21" s="59"/>
      <c r="AI21" s="55"/>
    </row>
    <row r="22" spans="1:35" ht="17.25" customHeight="1" x14ac:dyDescent="0.3">
      <c r="A22" s="16">
        <v>16</v>
      </c>
      <c r="B22" s="28" t="s">
        <v>80</v>
      </c>
      <c r="C22" s="74" t="s">
        <v>81</v>
      </c>
      <c r="D22" s="77">
        <v>34582</v>
      </c>
      <c r="E22" s="75" t="s">
        <v>82</v>
      </c>
      <c r="F22" s="58">
        <v>1132</v>
      </c>
      <c r="G22" s="27">
        <v>45915</v>
      </c>
      <c r="H22" s="27">
        <v>45915</v>
      </c>
      <c r="I22" s="19" t="s">
        <v>66</v>
      </c>
      <c r="J22" s="89">
        <v>3</v>
      </c>
      <c r="K22" s="89">
        <v>0</v>
      </c>
      <c r="L22" s="89">
        <v>30</v>
      </c>
      <c r="M22" s="83">
        <v>30</v>
      </c>
      <c r="N22" s="45">
        <f>14145+1885</f>
        <v>16030</v>
      </c>
      <c r="O22" s="45">
        <v>11316</v>
      </c>
      <c r="P22" s="45">
        <f>2829-1885</f>
        <v>944</v>
      </c>
      <c r="Q22" s="45">
        <v>0</v>
      </c>
      <c r="R22" s="66">
        <f t="shared" si="62"/>
        <v>28290</v>
      </c>
      <c r="S22" s="26">
        <f t="shared" si="63"/>
        <v>28290</v>
      </c>
      <c r="T22" s="42">
        <f t="shared" si="64"/>
        <v>16030</v>
      </c>
      <c r="U22" s="42">
        <f t="shared" si="65"/>
        <v>11316</v>
      </c>
      <c r="V22" s="42">
        <f t="shared" si="66"/>
        <v>944</v>
      </c>
      <c r="W22" s="43">
        <f t="shared" si="67"/>
        <v>0</v>
      </c>
      <c r="X22" s="42">
        <f t="shared" si="68"/>
        <v>28290</v>
      </c>
      <c r="Y22" s="42">
        <f t="shared" ref="Y22" si="72">ROUND(IF(N22&gt;15000,(15000/$A$3*M22)*12%,T22*12%)*1,0)</f>
        <v>1800</v>
      </c>
      <c r="Z22" s="42">
        <f t="shared" si="69"/>
        <v>1800</v>
      </c>
      <c r="AA22" s="42">
        <v>0</v>
      </c>
      <c r="AB22" s="43">
        <v>0</v>
      </c>
      <c r="AC22" s="43">
        <v>0</v>
      </c>
      <c r="AD22" s="42">
        <f t="shared" si="70"/>
        <v>1800</v>
      </c>
      <c r="AE22" s="80">
        <f t="shared" si="71"/>
        <v>26490</v>
      </c>
      <c r="AF22" s="86">
        <v>4</v>
      </c>
      <c r="AG22" s="87">
        <v>0.5</v>
      </c>
      <c r="AH22" s="59"/>
      <c r="AI22" s="55"/>
    </row>
    <row r="23" spans="1:35" ht="17.25" customHeight="1" x14ac:dyDescent="0.3">
      <c r="A23" s="16">
        <v>17</v>
      </c>
      <c r="B23" s="28" t="s">
        <v>83</v>
      </c>
      <c r="C23" s="74" t="s">
        <v>84</v>
      </c>
      <c r="D23" s="77">
        <v>36667</v>
      </c>
      <c r="E23" s="75" t="s">
        <v>85</v>
      </c>
      <c r="F23" s="58">
        <v>1244</v>
      </c>
      <c r="G23" s="27">
        <v>45943</v>
      </c>
      <c r="H23" s="27">
        <v>45943</v>
      </c>
      <c r="I23" s="19" t="s">
        <v>66</v>
      </c>
      <c r="J23" s="89">
        <v>4</v>
      </c>
      <c r="K23" s="89">
        <v>0</v>
      </c>
      <c r="L23" s="89">
        <v>29</v>
      </c>
      <c r="M23" s="83">
        <v>30</v>
      </c>
      <c r="N23" s="16">
        <v>18400</v>
      </c>
      <c r="O23" s="64">
        <v>14720</v>
      </c>
      <c r="P23" s="45">
        <v>3680</v>
      </c>
      <c r="Q23" s="45">
        <v>0</v>
      </c>
      <c r="R23" s="66">
        <f t="shared" ref="R23:R32" si="73">N23+O23+P23+Q23</f>
        <v>36800</v>
      </c>
      <c r="S23" s="26">
        <f t="shared" ref="S23:S28" si="74">R23</f>
        <v>36800</v>
      </c>
      <c r="T23" s="42">
        <f t="shared" ref="T23:T28" si="75">ROUND(N23/$A$3*M23,0)</f>
        <v>18400</v>
      </c>
      <c r="U23" s="42">
        <f t="shared" ref="U23:U28" si="76">ROUND(O23/$A$3*M23,0)</f>
        <v>14720</v>
      </c>
      <c r="V23" s="42">
        <f t="shared" ref="V23:V28" si="77">ROUND(P23/$A$3*M23,0)</f>
        <v>3680</v>
      </c>
      <c r="W23" s="43">
        <f t="shared" ref="W23:W28" si="78">ROUND(Q23/$A$3*M23,0)</f>
        <v>0</v>
      </c>
      <c r="X23" s="42">
        <f t="shared" ref="X23:X28" si="79">T23+U23+V23+W23</f>
        <v>36800</v>
      </c>
      <c r="Y23" s="42">
        <f t="shared" ref="Y23:Y32" si="80">ROUND(IF(N23&gt;15000,(15000/$A$3*M23)*12%,T23*12%)*1,0)</f>
        <v>1800</v>
      </c>
      <c r="Z23" s="42">
        <f t="shared" ref="Z23:Z28" si="81">Y23</f>
        <v>1800</v>
      </c>
      <c r="AA23" s="42">
        <v>0</v>
      </c>
      <c r="AB23" s="43">
        <v>0</v>
      </c>
      <c r="AC23" s="43">
        <v>0</v>
      </c>
      <c r="AD23" s="42">
        <f t="shared" ref="AD23" si="82">Y23+SUM(AA23:AC23)</f>
        <v>1800</v>
      </c>
      <c r="AE23" s="80">
        <f t="shared" ref="AE23:AE28" si="83">X23-AD23</f>
        <v>35000</v>
      </c>
      <c r="AF23" s="86">
        <v>4.5</v>
      </c>
      <c r="AG23" s="87">
        <v>0</v>
      </c>
      <c r="AH23" s="59"/>
      <c r="AI23" s="55"/>
    </row>
    <row r="24" spans="1:35" ht="17.25" customHeight="1" x14ac:dyDescent="0.3">
      <c r="A24" s="16">
        <v>18</v>
      </c>
      <c r="B24" s="28" t="s">
        <v>86</v>
      </c>
      <c r="C24" s="74" t="s">
        <v>87</v>
      </c>
      <c r="D24" s="77">
        <v>37500</v>
      </c>
      <c r="E24" s="75" t="s">
        <v>88</v>
      </c>
      <c r="F24" s="58">
        <v>1281</v>
      </c>
      <c r="G24" s="27">
        <v>45964</v>
      </c>
      <c r="H24" s="27">
        <v>45971</v>
      </c>
      <c r="I24" s="19" t="s">
        <v>67</v>
      </c>
      <c r="J24" s="89">
        <v>1.5</v>
      </c>
      <c r="K24" s="89">
        <v>0</v>
      </c>
      <c r="L24" s="89">
        <v>29</v>
      </c>
      <c r="M24" s="83">
        <v>30</v>
      </c>
      <c r="N24" s="67">
        <f>13580+1420</f>
        <v>15000</v>
      </c>
      <c r="O24" s="68">
        <v>0</v>
      </c>
      <c r="P24" s="45">
        <v>0</v>
      </c>
      <c r="Q24" s="45">
        <v>0</v>
      </c>
      <c r="R24" s="66">
        <f t="shared" si="73"/>
        <v>15000</v>
      </c>
      <c r="S24" s="26">
        <f t="shared" si="74"/>
        <v>15000</v>
      </c>
      <c r="T24" s="42">
        <f t="shared" si="75"/>
        <v>15000</v>
      </c>
      <c r="U24" s="42">
        <f t="shared" si="76"/>
        <v>0</v>
      </c>
      <c r="V24" s="42">
        <f t="shared" si="77"/>
        <v>0</v>
      </c>
      <c r="W24" s="43">
        <f t="shared" si="78"/>
        <v>0</v>
      </c>
      <c r="X24" s="42">
        <f t="shared" si="79"/>
        <v>15000</v>
      </c>
      <c r="Y24" s="42">
        <f t="shared" si="80"/>
        <v>1800</v>
      </c>
      <c r="Z24" s="42">
        <f t="shared" si="81"/>
        <v>1800</v>
      </c>
      <c r="AA24" s="42">
        <f t="shared" ref="AA24:AA28" si="84">ROUND(X24*0.75%,0)</f>
        <v>113</v>
      </c>
      <c r="AB24" s="43">
        <v>0</v>
      </c>
      <c r="AC24" s="43">
        <v>0</v>
      </c>
      <c r="AD24" s="42">
        <f t="shared" ref="AD24:AD28" si="85">Y24+SUM(AA24:AC24)</f>
        <v>1913</v>
      </c>
      <c r="AE24" s="80">
        <f t="shared" si="83"/>
        <v>13087</v>
      </c>
      <c r="AF24" s="86">
        <v>2</v>
      </c>
      <c r="AG24" s="87">
        <v>0</v>
      </c>
      <c r="AH24" s="59"/>
      <c r="AI24" s="55"/>
    </row>
    <row r="25" spans="1:35" ht="17.25" customHeight="1" x14ac:dyDescent="0.3">
      <c r="A25" s="16">
        <v>19</v>
      </c>
      <c r="B25" s="28" t="s">
        <v>89</v>
      </c>
      <c r="C25" s="74" t="s">
        <v>90</v>
      </c>
      <c r="D25" s="77">
        <v>37591</v>
      </c>
      <c r="E25" s="75" t="s">
        <v>91</v>
      </c>
      <c r="F25" s="58">
        <v>1283</v>
      </c>
      <c r="G25" s="27">
        <v>45965</v>
      </c>
      <c r="H25" s="27">
        <v>45969</v>
      </c>
      <c r="I25" s="19" t="s">
        <v>67</v>
      </c>
      <c r="J25" s="89">
        <v>3</v>
      </c>
      <c r="K25" s="89">
        <v>0</v>
      </c>
      <c r="L25" s="89">
        <v>28</v>
      </c>
      <c r="M25" s="83">
        <v>30</v>
      </c>
      <c r="N25" s="67">
        <f t="shared" ref="N25:N31" si="86">13580+2450</f>
        <v>16030</v>
      </c>
      <c r="O25" s="68">
        <f>8920-2450</f>
        <v>6470</v>
      </c>
      <c r="P25" s="45">
        <v>0</v>
      </c>
      <c r="Q25" s="45">
        <v>0</v>
      </c>
      <c r="R25" s="66">
        <f t="shared" si="73"/>
        <v>22500</v>
      </c>
      <c r="S25" s="26">
        <f t="shared" si="74"/>
        <v>22500</v>
      </c>
      <c r="T25" s="42">
        <f t="shared" si="75"/>
        <v>16030</v>
      </c>
      <c r="U25" s="42">
        <f t="shared" si="76"/>
        <v>6470</v>
      </c>
      <c r="V25" s="42">
        <f t="shared" si="77"/>
        <v>0</v>
      </c>
      <c r="W25" s="43">
        <f t="shared" si="78"/>
        <v>0</v>
      </c>
      <c r="X25" s="42">
        <f t="shared" si="79"/>
        <v>22500</v>
      </c>
      <c r="Y25" s="42">
        <f t="shared" si="80"/>
        <v>1800</v>
      </c>
      <c r="Z25" s="42">
        <f t="shared" si="81"/>
        <v>1800</v>
      </c>
      <c r="AA25" s="42">
        <v>0</v>
      </c>
      <c r="AB25" s="43">
        <v>0</v>
      </c>
      <c r="AC25" s="43">
        <v>0</v>
      </c>
      <c r="AD25" s="42">
        <f t="shared" si="85"/>
        <v>1800</v>
      </c>
      <c r="AE25" s="80">
        <f t="shared" si="83"/>
        <v>20700</v>
      </c>
      <c r="AF25" s="86">
        <v>2.5</v>
      </c>
      <c r="AG25" s="87">
        <v>0</v>
      </c>
      <c r="AH25" s="59"/>
      <c r="AI25" s="55"/>
    </row>
    <row r="26" spans="1:35" ht="17.25" customHeight="1" x14ac:dyDescent="0.3">
      <c r="A26" s="16">
        <v>20</v>
      </c>
      <c r="B26" s="90" t="s">
        <v>92</v>
      </c>
      <c r="C26" s="74" t="s">
        <v>93</v>
      </c>
      <c r="D26" s="77">
        <v>38361</v>
      </c>
      <c r="E26" s="75" t="s">
        <v>94</v>
      </c>
      <c r="F26" s="58">
        <v>1279</v>
      </c>
      <c r="G26" s="27">
        <v>45964</v>
      </c>
      <c r="H26" s="27">
        <v>45973</v>
      </c>
      <c r="I26" s="19" t="s">
        <v>67</v>
      </c>
      <c r="J26" s="89">
        <v>3.5</v>
      </c>
      <c r="K26" s="89">
        <v>0</v>
      </c>
      <c r="L26" s="89">
        <v>30</v>
      </c>
      <c r="M26" s="83">
        <v>30</v>
      </c>
      <c r="N26" s="67">
        <f t="shared" si="86"/>
        <v>16030</v>
      </c>
      <c r="O26" s="68">
        <f>9216-2450+244</f>
        <v>7010</v>
      </c>
      <c r="P26" s="45">
        <v>0</v>
      </c>
      <c r="Q26" s="45">
        <v>0</v>
      </c>
      <c r="R26" s="66">
        <f t="shared" si="73"/>
        <v>23040</v>
      </c>
      <c r="S26" s="26">
        <f t="shared" si="74"/>
        <v>23040</v>
      </c>
      <c r="T26" s="42">
        <f t="shared" si="75"/>
        <v>16030</v>
      </c>
      <c r="U26" s="42">
        <f t="shared" si="76"/>
        <v>7010</v>
      </c>
      <c r="V26" s="42">
        <f t="shared" si="77"/>
        <v>0</v>
      </c>
      <c r="W26" s="43">
        <f t="shared" si="78"/>
        <v>0</v>
      </c>
      <c r="X26" s="42">
        <f t="shared" si="79"/>
        <v>23040</v>
      </c>
      <c r="Y26" s="42">
        <f t="shared" si="80"/>
        <v>1800</v>
      </c>
      <c r="Z26" s="42">
        <f t="shared" si="81"/>
        <v>1800</v>
      </c>
      <c r="AA26" s="42">
        <v>0</v>
      </c>
      <c r="AB26" s="43">
        <v>0</v>
      </c>
      <c r="AC26" s="43">
        <v>0</v>
      </c>
      <c r="AD26" s="42">
        <f t="shared" si="85"/>
        <v>1800</v>
      </c>
      <c r="AE26" s="80">
        <f t="shared" si="83"/>
        <v>21240</v>
      </c>
      <c r="AF26" s="86">
        <v>4.5</v>
      </c>
      <c r="AG26" s="87">
        <v>0.5</v>
      </c>
      <c r="AH26" s="59"/>
      <c r="AI26" s="55"/>
    </row>
    <row r="27" spans="1:35" ht="17.25" customHeight="1" x14ac:dyDescent="0.3">
      <c r="A27" s="16">
        <v>21</v>
      </c>
      <c r="B27" s="90" t="s">
        <v>95</v>
      </c>
      <c r="C27" s="74" t="s">
        <v>96</v>
      </c>
      <c r="D27" s="77">
        <v>38204</v>
      </c>
      <c r="E27" s="75" t="s">
        <v>97</v>
      </c>
      <c r="F27" s="58">
        <v>1278</v>
      </c>
      <c r="G27" s="27">
        <v>45964</v>
      </c>
      <c r="H27" s="27">
        <v>45973</v>
      </c>
      <c r="I27" s="19" t="s">
        <v>67</v>
      </c>
      <c r="J27" s="89">
        <v>1</v>
      </c>
      <c r="K27" s="89">
        <v>0</v>
      </c>
      <c r="L27" s="89">
        <v>27</v>
      </c>
      <c r="M27" s="83">
        <v>29.5</v>
      </c>
      <c r="N27" s="67">
        <f t="shared" si="86"/>
        <v>16030</v>
      </c>
      <c r="O27" s="68">
        <f>9246-2450+288</f>
        <v>7084</v>
      </c>
      <c r="P27" s="45">
        <v>0</v>
      </c>
      <c r="Q27" s="45">
        <v>0</v>
      </c>
      <c r="R27" s="66">
        <f t="shared" si="73"/>
        <v>23114</v>
      </c>
      <c r="S27" s="26">
        <f t="shared" si="74"/>
        <v>23114</v>
      </c>
      <c r="T27" s="42">
        <f t="shared" si="75"/>
        <v>15763</v>
      </c>
      <c r="U27" s="42">
        <f t="shared" si="76"/>
        <v>6966</v>
      </c>
      <c r="V27" s="42">
        <f t="shared" si="77"/>
        <v>0</v>
      </c>
      <c r="W27" s="43">
        <f t="shared" si="78"/>
        <v>0</v>
      </c>
      <c r="X27" s="42">
        <f t="shared" si="79"/>
        <v>22729</v>
      </c>
      <c r="Y27" s="42">
        <v>0</v>
      </c>
      <c r="Z27" s="42">
        <f t="shared" si="81"/>
        <v>0</v>
      </c>
      <c r="AA27" s="42">
        <v>0</v>
      </c>
      <c r="AB27" s="43">
        <v>0</v>
      </c>
      <c r="AC27" s="43">
        <v>0</v>
      </c>
      <c r="AD27" s="42">
        <f t="shared" si="85"/>
        <v>0</v>
      </c>
      <c r="AE27" s="80">
        <f t="shared" si="83"/>
        <v>22729</v>
      </c>
      <c r="AF27" s="86">
        <v>0</v>
      </c>
      <c r="AG27" s="87">
        <v>0</v>
      </c>
      <c r="AH27" s="59"/>
      <c r="AI27" s="55"/>
    </row>
    <row r="28" spans="1:35" ht="17.25" customHeight="1" x14ac:dyDescent="0.3">
      <c r="A28" s="16">
        <v>22</v>
      </c>
      <c r="B28" s="28" t="s">
        <v>98</v>
      </c>
      <c r="C28" s="74" t="s">
        <v>99</v>
      </c>
      <c r="D28" s="77">
        <v>35851</v>
      </c>
      <c r="E28" s="75" t="s">
        <v>100</v>
      </c>
      <c r="F28" s="58">
        <v>1272</v>
      </c>
      <c r="G28" s="27">
        <v>45966</v>
      </c>
      <c r="H28" s="27">
        <v>45973</v>
      </c>
      <c r="I28" s="19" t="s">
        <v>67</v>
      </c>
      <c r="J28" s="89">
        <v>4</v>
      </c>
      <c r="K28" s="89">
        <v>0.5</v>
      </c>
      <c r="L28" s="89">
        <v>29</v>
      </c>
      <c r="M28" s="83">
        <v>30</v>
      </c>
      <c r="N28" s="67">
        <f t="shared" si="86"/>
        <v>16030</v>
      </c>
      <c r="O28" s="68">
        <f>5170-2450</f>
        <v>2720</v>
      </c>
      <c r="P28" s="45">
        <v>0</v>
      </c>
      <c r="Q28" s="45">
        <v>0</v>
      </c>
      <c r="R28" s="66">
        <f t="shared" si="73"/>
        <v>18750</v>
      </c>
      <c r="S28" s="26">
        <f t="shared" si="74"/>
        <v>18750</v>
      </c>
      <c r="T28" s="42">
        <f t="shared" si="75"/>
        <v>16030</v>
      </c>
      <c r="U28" s="42">
        <f t="shared" si="76"/>
        <v>2720</v>
      </c>
      <c r="V28" s="42">
        <f t="shared" si="77"/>
        <v>0</v>
      </c>
      <c r="W28" s="43">
        <f t="shared" si="78"/>
        <v>0</v>
      </c>
      <c r="X28" s="42">
        <f t="shared" si="79"/>
        <v>18750</v>
      </c>
      <c r="Y28" s="42">
        <f t="shared" si="80"/>
        <v>1800</v>
      </c>
      <c r="Z28" s="42">
        <f t="shared" si="81"/>
        <v>1800</v>
      </c>
      <c r="AA28" s="42">
        <f t="shared" si="84"/>
        <v>141</v>
      </c>
      <c r="AB28" s="43">
        <v>0</v>
      </c>
      <c r="AC28" s="43">
        <v>0</v>
      </c>
      <c r="AD28" s="42">
        <f t="shared" si="85"/>
        <v>1941</v>
      </c>
      <c r="AE28" s="80">
        <f t="shared" si="83"/>
        <v>16809</v>
      </c>
      <c r="AF28" s="86">
        <v>5</v>
      </c>
      <c r="AG28" s="87">
        <v>0</v>
      </c>
      <c r="AH28" s="59"/>
      <c r="AI28" s="55"/>
    </row>
    <row r="29" spans="1:35" ht="17.25" customHeight="1" x14ac:dyDescent="0.3">
      <c r="A29" s="16">
        <v>23</v>
      </c>
      <c r="B29" s="28" t="s">
        <v>102</v>
      </c>
      <c r="C29" s="74" t="s">
        <v>103</v>
      </c>
      <c r="D29" s="77">
        <v>38395</v>
      </c>
      <c r="E29" s="75" t="s">
        <v>104</v>
      </c>
      <c r="F29" s="58">
        <v>1354</v>
      </c>
      <c r="G29" s="27">
        <v>45992</v>
      </c>
      <c r="H29" s="27">
        <v>46002</v>
      </c>
      <c r="I29" s="19" t="s">
        <v>67</v>
      </c>
      <c r="J29" s="89">
        <v>1</v>
      </c>
      <c r="K29" s="89">
        <v>0.5</v>
      </c>
      <c r="L29" s="89">
        <v>29</v>
      </c>
      <c r="M29" s="83">
        <v>30</v>
      </c>
      <c r="N29" s="67">
        <f t="shared" si="86"/>
        <v>16030</v>
      </c>
      <c r="O29" s="68">
        <f>6420-2450</f>
        <v>3970</v>
      </c>
      <c r="P29" s="45">
        <v>0</v>
      </c>
      <c r="Q29" s="45">
        <v>0</v>
      </c>
      <c r="R29" s="66">
        <f t="shared" si="73"/>
        <v>20000</v>
      </c>
      <c r="S29" s="26">
        <f t="shared" ref="S29:S32" si="87">R29</f>
        <v>20000</v>
      </c>
      <c r="T29" s="42">
        <f t="shared" ref="T29:T32" si="88">ROUND(N29/$A$3*M29,0)</f>
        <v>16030</v>
      </c>
      <c r="U29" s="42">
        <f t="shared" ref="U29:U32" si="89">ROUND(O29/$A$3*M29,0)</f>
        <v>3970</v>
      </c>
      <c r="V29" s="42">
        <f t="shared" ref="V29:V32" si="90">ROUND(P29/$A$3*M29,0)</f>
        <v>0</v>
      </c>
      <c r="W29" s="43">
        <f t="shared" ref="W29:W32" si="91">ROUND(Q29/$A$3*M29,0)</f>
        <v>0</v>
      </c>
      <c r="X29" s="42">
        <f t="shared" ref="X29:X32" si="92">T29+U29+V29+W29</f>
        <v>20000</v>
      </c>
      <c r="Y29" s="42">
        <f t="shared" si="80"/>
        <v>1800</v>
      </c>
      <c r="Z29" s="42">
        <f t="shared" ref="Z29:Z32" si="93">Y29</f>
        <v>1800</v>
      </c>
      <c r="AA29" s="42">
        <f t="shared" ref="AA29:AA32" si="94">ROUND(X29*0.75%,0)</f>
        <v>150</v>
      </c>
      <c r="AB29" s="43">
        <v>0</v>
      </c>
      <c r="AC29" s="43">
        <v>0</v>
      </c>
      <c r="AD29" s="42">
        <f t="shared" ref="AD29:AD32" si="95">Y29+SUM(AA29:AC29)</f>
        <v>1950</v>
      </c>
      <c r="AE29" s="80">
        <f t="shared" ref="AE29:AE32" si="96">X29-AD29</f>
        <v>18050</v>
      </c>
      <c r="AF29" s="86">
        <v>2</v>
      </c>
      <c r="AG29" s="87">
        <v>0</v>
      </c>
      <c r="AH29" s="59"/>
      <c r="AI29" s="55"/>
    </row>
    <row r="30" spans="1:35" ht="17.25" customHeight="1" x14ac:dyDescent="0.3">
      <c r="A30" s="16">
        <v>24</v>
      </c>
      <c r="B30" s="28" t="s">
        <v>105</v>
      </c>
      <c r="C30" s="74" t="s">
        <v>106</v>
      </c>
      <c r="D30" s="77">
        <v>38716</v>
      </c>
      <c r="E30" s="75" t="s">
        <v>107</v>
      </c>
      <c r="F30" s="58">
        <v>1357</v>
      </c>
      <c r="G30" s="27">
        <v>45992</v>
      </c>
      <c r="H30" s="27">
        <v>46002</v>
      </c>
      <c r="I30" s="19" t="s">
        <v>67</v>
      </c>
      <c r="J30" s="89">
        <v>0</v>
      </c>
      <c r="K30" s="89">
        <v>0</v>
      </c>
      <c r="L30" s="89">
        <v>27</v>
      </c>
      <c r="M30" s="83">
        <v>28.5</v>
      </c>
      <c r="N30" s="67">
        <f t="shared" si="86"/>
        <v>16030</v>
      </c>
      <c r="O30" s="68">
        <f>6420-2450</f>
        <v>3970</v>
      </c>
      <c r="P30" s="45">
        <v>0</v>
      </c>
      <c r="Q30" s="45">
        <v>0</v>
      </c>
      <c r="R30" s="66">
        <f t="shared" si="73"/>
        <v>20000</v>
      </c>
      <c r="S30" s="26">
        <f t="shared" si="87"/>
        <v>20000</v>
      </c>
      <c r="T30" s="42">
        <f t="shared" si="88"/>
        <v>15229</v>
      </c>
      <c r="U30" s="42">
        <f t="shared" si="89"/>
        <v>3772</v>
      </c>
      <c r="V30" s="42">
        <f t="shared" si="90"/>
        <v>0</v>
      </c>
      <c r="W30" s="43">
        <f t="shared" si="91"/>
        <v>0</v>
      </c>
      <c r="X30" s="42">
        <f t="shared" si="92"/>
        <v>19001</v>
      </c>
      <c r="Y30" s="42">
        <v>0</v>
      </c>
      <c r="Z30" s="42">
        <f t="shared" si="93"/>
        <v>0</v>
      </c>
      <c r="AA30" s="42">
        <f t="shared" si="94"/>
        <v>143</v>
      </c>
      <c r="AB30" s="43">
        <v>0</v>
      </c>
      <c r="AC30" s="43">
        <v>0</v>
      </c>
      <c r="AD30" s="42">
        <f t="shared" si="95"/>
        <v>143</v>
      </c>
      <c r="AE30" s="80">
        <f t="shared" si="96"/>
        <v>18858</v>
      </c>
      <c r="AF30" s="86">
        <v>0</v>
      </c>
      <c r="AG30" s="87">
        <v>0</v>
      </c>
      <c r="AH30" s="59"/>
      <c r="AI30" s="55"/>
    </row>
    <row r="31" spans="1:35" ht="17.25" customHeight="1" x14ac:dyDescent="0.3">
      <c r="A31" s="16">
        <v>25</v>
      </c>
      <c r="B31" s="90" t="s">
        <v>108</v>
      </c>
      <c r="C31" s="74" t="s">
        <v>109</v>
      </c>
      <c r="D31" s="77">
        <v>45999</v>
      </c>
      <c r="E31" s="75" t="s">
        <v>110</v>
      </c>
      <c r="F31" s="58">
        <v>1364</v>
      </c>
      <c r="G31" s="27">
        <v>45999</v>
      </c>
      <c r="H31" s="27">
        <v>46020</v>
      </c>
      <c r="I31" s="19" t="s">
        <v>67</v>
      </c>
      <c r="J31" s="89">
        <v>1</v>
      </c>
      <c r="K31" s="89">
        <v>0</v>
      </c>
      <c r="L31" s="89">
        <v>29.5</v>
      </c>
      <c r="M31" s="83">
        <v>30</v>
      </c>
      <c r="N31" s="67">
        <f t="shared" si="86"/>
        <v>16030</v>
      </c>
      <c r="O31" s="68">
        <f>9318-2450+398</f>
        <v>7266</v>
      </c>
      <c r="P31" s="45">
        <v>0</v>
      </c>
      <c r="Q31" s="45">
        <v>0</v>
      </c>
      <c r="R31" s="66">
        <f t="shared" si="73"/>
        <v>23296</v>
      </c>
      <c r="S31" s="26">
        <f t="shared" si="87"/>
        <v>23296</v>
      </c>
      <c r="T31" s="42">
        <f t="shared" si="88"/>
        <v>16030</v>
      </c>
      <c r="U31" s="42">
        <f t="shared" si="89"/>
        <v>7266</v>
      </c>
      <c r="V31" s="42">
        <f t="shared" si="90"/>
        <v>0</v>
      </c>
      <c r="W31" s="43">
        <f t="shared" si="91"/>
        <v>0</v>
      </c>
      <c r="X31" s="42">
        <f t="shared" si="92"/>
        <v>23296</v>
      </c>
      <c r="Y31" s="42">
        <v>0</v>
      </c>
      <c r="Z31" s="42">
        <f t="shared" si="93"/>
        <v>0</v>
      </c>
      <c r="AA31" s="42">
        <v>0</v>
      </c>
      <c r="AB31" s="43">
        <v>0</v>
      </c>
      <c r="AC31" s="43">
        <v>0</v>
      </c>
      <c r="AD31" s="42">
        <f t="shared" si="95"/>
        <v>0</v>
      </c>
      <c r="AE31" s="80">
        <f t="shared" si="96"/>
        <v>23296</v>
      </c>
      <c r="AF31" s="86">
        <v>2</v>
      </c>
      <c r="AG31" s="87">
        <v>0</v>
      </c>
      <c r="AH31" s="59"/>
      <c r="AI31" s="55"/>
    </row>
    <row r="32" spans="1:35" ht="17.25" customHeight="1" x14ac:dyDescent="0.3">
      <c r="A32" s="16">
        <v>26</v>
      </c>
      <c r="B32" s="28" t="s">
        <v>111</v>
      </c>
      <c r="C32" s="74" t="s">
        <v>112</v>
      </c>
      <c r="D32" s="77">
        <v>37078</v>
      </c>
      <c r="E32" s="75" t="s">
        <v>113</v>
      </c>
      <c r="F32" s="58">
        <v>1398</v>
      </c>
      <c r="G32" s="27">
        <v>46006</v>
      </c>
      <c r="H32" s="27">
        <v>46013</v>
      </c>
      <c r="I32" s="19" t="s">
        <v>67</v>
      </c>
      <c r="J32" s="89">
        <v>2</v>
      </c>
      <c r="K32" s="89">
        <v>0</v>
      </c>
      <c r="L32" s="89">
        <v>30</v>
      </c>
      <c r="M32" s="83">
        <v>30</v>
      </c>
      <c r="N32" s="67">
        <f>13580+1420</f>
        <v>15000</v>
      </c>
      <c r="O32" s="68">
        <v>0</v>
      </c>
      <c r="P32" s="45">
        <v>0</v>
      </c>
      <c r="Q32" s="45">
        <v>0</v>
      </c>
      <c r="R32" s="66">
        <f t="shared" si="73"/>
        <v>15000</v>
      </c>
      <c r="S32" s="26">
        <f t="shared" si="87"/>
        <v>15000</v>
      </c>
      <c r="T32" s="42">
        <f t="shared" si="88"/>
        <v>15000</v>
      </c>
      <c r="U32" s="42">
        <f t="shared" si="89"/>
        <v>0</v>
      </c>
      <c r="V32" s="42">
        <f t="shared" si="90"/>
        <v>0</v>
      </c>
      <c r="W32" s="43">
        <f t="shared" si="91"/>
        <v>0</v>
      </c>
      <c r="X32" s="42">
        <f t="shared" si="92"/>
        <v>15000</v>
      </c>
      <c r="Y32" s="42">
        <f t="shared" si="80"/>
        <v>1800</v>
      </c>
      <c r="Z32" s="42">
        <f t="shared" si="93"/>
        <v>1800</v>
      </c>
      <c r="AA32" s="42">
        <f t="shared" si="94"/>
        <v>113</v>
      </c>
      <c r="AB32" s="43">
        <v>0</v>
      </c>
      <c r="AC32" s="43">
        <v>0</v>
      </c>
      <c r="AD32" s="42">
        <f t="shared" si="95"/>
        <v>1913</v>
      </c>
      <c r="AE32" s="80">
        <f t="shared" si="96"/>
        <v>13087</v>
      </c>
      <c r="AF32" s="86">
        <v>3</v>
      </c>
      <c r="AG32" s="87">
        <v>0.5</v>
      </c>
      <c r="AH32" s="59"/>
      <c r="AI32" s="55"/>
    </row>
    <row r="33" spans="1:35" s="110" customFormat="1" ht="17.25" customHeight="1" x14ac:dyDescent="0.3">
      <c r="A33" s="16">
        <v>27</v>
      </c>
      <c r="B33" s="91" t="s">
        <v>124</v>
      </c>
      <c r="C33" s="92" t="s">
        <v>129</v>
      </c>
      <c r="D33" s="93">
        <v>38276</v>
      </c>
      <c r="E33" s="94" t="s">
        <v>132</v>
      </c>
      <c r="F33" s="95">
        <v>1769</v>
      </c>
      <c r="G33" s="96">
        <v>46118</v>
      </c>
      <c r="H33" s="96"/>
      <c r="I33" s="97" t="s">
        <v>67</v>
      </c>
      <c r="J33" s="98" t="s">
        <v>127</v>
      </c>
      <c r="K33" s="98" t="s">
        <v>127</v>
      </c>
      <c r="L33" s="98">
        <v>23.5</v>
      </c>
      <c r="M33" s="99">
        <f>23.5+1.5</f>
        <v>25</v>
      </c>
      <c r="N33" s="100">
        <v>15000</v>
      </c>
      <c r="O33" s="101">
        <v>0</v>
      </c>
      <c r="P33" s="101">
        <v>0</v>
      </c>
      <c r="Q33" s="101">
        <v>0</v>
      </c>
      <c r="R33" s="102">
        <f t="shared" ref="R33:R36" si="97">N33+O33+P33+Q33</f>
        <v>15000</v>
      </c>
      <c r="S33" s="103">
        <f t="shared" ref="S33:S36" si="98">R33</f>
        <v>15000</v>
      </c>
      <c r="T33" s="104">
        <f t="shared" ref="T33:T36" si="99">ROUND(N33/$A$3*M33,0)</f>
        <v>12500</v>
      </c>
      <c r="U33" s="104">
        <f t="shared" ref="U33:U36" si="100">ROUND(O33/$A$3*M33,0)</f>
        <v>0</v>
      </c>
      <c r="V33" s="104">
        <f t="shared" ref="V33:V36" si="101">ROUND(P33/$A$3*M33,0)</f>
        <v>0</v>
      </c>
      <c r="W33" s="105">
        <f t="shared" ref="W33:W36" si="102">ROUND(Q33/$A$3*M33,0)</f>
        <v>0</v>
      </c>
      <c r="X33" s="104">
        <f t="shared" ref="X33:X36" si="103">T33+U33+V33+W33</f>
        <v>12500</v>
      </c>
      <c r="Y33" s="104">
        <f t="shared" ref="Y33:Y36" si="104">ROUND(IF(N33&gt;15000,(15000/$A$3*M33)*12%,T33*12%)*1,0)</f>
        <v>1500</v>
      </c>
      <c r="Z33" s="104">
        <f t="shared" ref="Z33:Z36" si="105">Y33</f>
        <v>1500</v>
      </c>
      <c r="AA33" s="104">
        <f t="shared" ref="AA33:AA36" si="106">ROUND(X33*0.75%,0)</f>
        <v>94</v>
      </c>
      <c r="AB33" s="105">
        <v>0</v>
      </c>
      <c r="AC33" s="105">
        <v>0</v>
      </c>
      <c r="AD33" s="104">
        <f t="shared" ref="AD33:AD36" si="107">Y33+SUM(AA33:AC33)</f>
        <v>1594</v>
      </c>
      <c r="AE33" s="106">
        <f t="shared" ref="AE33:AE36" si="108">X33-AD33</f>
        <v>10906</v>
      </c>
      <c r="AF33" s="98">
        <v>0</v>
      </c>
      <c r="AG33" s="107">
        <v>0</v>
      </c>
      <c r="AH33" s="108"/>
      <c r="AI33" s="109"/>
    </row>
    <row r="34" spans="1:35" s="110" customFormat="1" ht="17.25" customHeight="1" x14ac:dyDescent="0.3">
      <c r="A34" s="16">
        <v>28</v>
      </c>
      <c r="B34" s="91" t="s">
        <v>125</v>
      </c>
      <c r="C34" s="92" t="s">
        <v>130</v>
      </c>
      <c r="D34" s="93">
        <v>37947</v>
      </c>
      <c r="E34" s="94" t="s">
        <v>131</v>
      </c>
      <c r="F34" s="95">
        <v>1857</v>
      </c>
      <c r="G34" s="96">
        <v>46125</v>
      </c>
      <c r="H34" s="96"/>
      <c r="I34" s="97" t="s">
        <v>67</v>
      </c>
      <c r="J34" s="98" t="s">
        <v>127</v>
      </c>
      <c r="K34" s="98" t="s">
        <v>127</v>
      </c>
      <c r="L34" s="98">
        <v>18</v>
      </c>
      <c r="M34" s="99">
        <v>18</v>
      </c>
      <c r="N34" s="100">
        <v>15000</v>
      </c>
      <c r="O34" s="101">
        <v>0</v>
      </c>
      <c r="P34" s="101">
        <v>0</v>
      </c>
      <c r="Q34" s="101">
        <v>0</v>
      </c>
      <c r="R34" s="102">
        <f t="shared" si="97"/>
        <v>15000</v>
      </c>
      <c r="S34" s="103">
        <f t="shared" si="98"/>
        <v>15000</v>
      </c>
      <c r="T34" s="104">
        <f t="shared" si="99"/>
        <v>9000</v>
      </c>
      <c r="U34" s="104">
        <f t="shared" si="100"/>
        <v>0</v>
      </c>
      <c r="V34" s="104">
        <f t="shared" si="101"/>
        <v>0</v>
      </c>
      <c r="W34" s="105">
        <f t="shared" si="102"/>
        <v>0</v>
      </c>
      <c r="X34" s="104">
        <f t="shared" si="103"/>
        <v>9000</v>
      </c>
      <c r="Y34" s="104">
        <f t="shared" si="104"/>
        <v>1080</v>
      </c>
      <c r="Z34" s="104">
        <f t="shared" si="105"/>
        <v>1080</v>
      </c>
      <c r="AA34" s="104">
        <f t="shared" si="106"/>
        <v>68</v>
      </c>
      <c r="AB34" s="105">
        <v>0</v>
      </c>
      <c r="AC34" s="105">
        <v>0</v>
      </c>
      <c r="AD34" s="104">
        <f t="shared" si="107"/>
        <v>1148</v>
      </c>
      <c r="AE34" s="106">
        <f t="shared" si="108"/>
        <v>7852</v>
      </c>
      <c r="AF34" s="98">
        <v>1</v>
      </c>
      <c r="AG34" s="107">
        <v>0.5</v>
      </c>
      <c r="AH34" s="108"/>
      <c r="AI34" s="109"/>
    </row>
    <row r="35" spans="1:35" s="110" customFormat="1" ht="17.25" customHeight="1" x14ac:dyDescent="0.3">
      <c r="A35" s="16">
        <v>29</v>
      </c>
      <c r="B35" s="91" t="s">
        <v>126</v>
      </c>
      <c r="C35" s="92" t="s">
        <v>136</v>
      </c>
      <c r="D35" s="93">
        <v>37516</v>
      </c>
      <c r="E35" s="94" t="s">
        <v>133</v>
      </c>
      <c r="F35" s="95" t="s">
        <v>118</v>
      </c>
      <c r="G35" s="96">
        <v>46125</v>
      </c>
      <c r="H35" s="96"/>
      <c r="I35" s="97" t="s">
        <v>67</v>
      </c>
      <c r="J35" s="98" t="s">
        <v>127</v>
      </c>
      <c r="K35" s="98" t="s">
        <v>127</v>
      </c>
      <c r="L35" s="98">
        <v>17</v>
      </c>
      <c r="M35" s="99">
        <f>17+1</f>
        <v>18</v>
      </c>
      <c r="N35" s="100">
        <v>15000</v>
      </c>
      <c r="O35" s="101">
        <v>0</v>
      </c>
      <c r="P35" s="101">
        <v>0</v>
      </c>
      <c r="Q35" s="101">
        <v>0</v>
      </c>
      <c r="R35" s="102">
        <f t="shared" si="97"/>
        <v>15000</v>
      </c>
      <c r="S35" s="103">
        <f t="shared" si="98"/>
        <v>15000</v>
      </c>
      <c r="T35" s="104">
        <f t="shared" si="99"/>
        <v>9000</v>
      </c>
      <c r="U35" s="104">
        <f t="shared" si="100"/>
        <v>0</v>
      </c>
      <c r="V35" s="104">
        <f t="shared" si="101"/>
        <v>0</v>
      </c>
      <c r="W35" s="105">
        <f t="shared" si="102"/>
        <v>0</v>
      </c>
      <c r="X35" s="104">
        <f t="shared" si="103"/>
        <v>9000</v>
      </c>
      <c r="Y35" s="104">
        <f t="shared" si="104"/>
        <v>1080</v>
      </c>
      <c r="Z35" s="104">
        <f t="shared" si="105"/>
        <v>1080</v>
      </c>
      <c r="AA35" s="104">
        <f t="shared" si="106"/>
        <v>68</v>
      </c>
      <c r="AB35" s="105">
        <v>0</v>
      </c>
      <c r="AC35" s="105">
        <v>0</v>
      </c>
      <c r="AD35" s="104">
        <f t="shared" si="107"/>
        <v>1148</v>
      </c>
      <c r="AE35" s="106">
        <f t="shared" si="108"/>
        <v>7852</v>
      </c>
      <c r="AF35" s="98">
        <v>0.5</v>
      </c>
      <c r="AG35" s="107">
        <v>0</v>
      </c>
      <c r="AH35" s="108"/>
      <c r="AI35" s="109"/>
    </row>
    <row r="36" spans="1:35" s="110" customFormat="1" ht="17.25" customHeight="1" x14ac:dyDescent="0.3">
      <c r="A36" s="16">
        <v>30</v>
      </c>
      <c r="B36" s="91" t="s">
        <v>128</v>
      </c>
      <c r="C36" s="92" t="s">
        <v>135</v>
      </c>
      <c r="D36" s="93">
        <v>34314</v>
      </c>
      <c r="E36" s="94" t="s">
        <v>134</v>
      </c>
      <c r="F36" s="95">
        <v>1895</v>
      </c>
      <c r="G36" s="96">
        <v>46134</v>
      </c>
      <c r="H36" s="96"/>
      <c r="I36" s="97" t="s">
        <v>67</v>
      </c>
      <c r="J36" s="98" t="s">
        <v>127</v>
      </c>
      <c r="K36" s="98" t="s">
        <v>127</v>
      </c>
      <c r="L36" s="98">
        <v>8</v>
      </c>
      <c r="M36" s="99">
        <v>8</v>
      </c>
      <c r="N36" s="100">
        <v>16030</v>
      </c>
      <c r="O36" s="111">
        <v>750</v>
      </c>
      <c r="P36" s="101">
        <v>0</v>
      </c>
      <c r="Q36" s="101">
        <v>0</v>
      </c>
      <c r="R36" s="102">
        <f t="shared" si="97"/>
        <v>16780</v>
      </c>
      <c r="S36" s="103">
        <f t="shared" si="98"/>
        <v>16780</v>
      </c>
      <c r="T36" s="104">
        <f t="shared" si="99"/>
        <v>4275</v>
      </c>
      <c r="U36" s="104">
        <f t="shared" si="100"/>
        <v>200</v>
      </c>
      <c r="V36" s="104">
        <f t="shared" si="101"/>
        <v>0</v>
      </c>
      <c r="W36" s="105">
        <f t="shared" si="102"/>
        <v>0</v>
      </c>
      <c r="X36" s="104">
        <f t="shared" si="103"/>
        <v>4475</v>
      </c>
      <c r="Y36" s="104">
        <f t="shared" si="104"/>
        <v>480</v>
      </c>
      <c r="Z36" s="104">
        <f t="shared" si="105"/>
        <v>480</v>
      </c>
      <c r="AA36" s="104">
        <f t="shared" si="106"/>
        <v>34</v>
      </c>
      <c r="AB36" s="105">
        <v>0</v>
      </c>
      <c r="AC36" s="105">
        <v>0</v>
      </c>
      <c r="AD36" s="104">
        <f t="shared" si="107"/>
        <v>514</v>
      </c>
      <c r="AE36" s="106">
        <f t="shared" si="108"/>
        <v>3961</v>
      </c>
      <c r="AF36" s="98">
        <v>0</v>
      </c>
      <c r="AG36" s="107">
        <v>0</v>
      </c>
      <c r="AH36" s="108"/>
      <c r="AI36" s="109"/>
    </row>
    <row r="37" spans="1:35" ht="17.25" customHeight="1" x14ac:dyDescent="0.3">
      <c r="A37" s="16"/>
      <c r="B37" s="28"/>
      <c r="C37" s="74"/>
      <c r="D37" s="77"/>
      <c r="E37" s="75"/>
      <c r="F37" s="58"/>
      <c r="G37" s="27"/>
      <c r="H37" s="27"/>
      <c r="I37" s="19"/>
      <c r="J37" s="89"/>
      <c r="K37" s="89"/>
      <c r="L37" s="89"/>
      <c r="M37" s="83"/>
      <c r="N37" s="67"/>
      <c r="O37" s="68"/>
      <c r="P37" s="45"/>
      <c r="Q37" s="45"/>
      <c r="R37" s="66"/>
      <c r="S37" s="26"/>
      <c r="T37" s="42"/>
      <c r="U37" s="42"/>
      <c r="V37" s="42"/>
      <c r="W37" s="43"/>
      <c r="X37" s="42"/>
      <c r="Y37" s="42"/>
      <c r="Z37" s="42"/>
      <c r="AA37" s="42"/>
      <c r="AB37" s="43"/>
      <c r="AC37" s="43"/>
      <c r="AD37" s="42"/>
      <c r="AE37" s="80"/>
      <c r="AF37" s="86"/>
      <c r="AG37" s="87"/>
      <c r="AH37" s="59"/>
      <c r="AI37" s="55"/>
    </row>
    <row r="38" spans="1:35" ht="17.25" customHeight="1" thickBot="1" x14ac:dyDescent="0.35">
      <c r="A38" s="16"/>
      <c r="B38" s="20"/>
      <c r="C38" s="71"/>
      <c r="D38" s="72"/>
      <c r="E38" s="73"/>
      <c r="F38" s="57"/>
      <c r="G38" s="19"/>
      <c r="H38" s="19"/>
      <c r="I38" s="19"/>
      <c r="J38" s="39"/>
      <c r="K38" s="39"/>
      <c r="L38" s="39"/>
      <c r="M38" s="40"/>
      <c r="N38" s="41"/>
      <c r="O38" s="41"/>
      <c r="P38" s="41"/>
      <c r="Q38" s="41"/>
      <c r="R38" s="22"/>
      <c r="S38" s="36"/>
      <c r="T38" s="37"/>
      <c r="U38" s="37"/>
      <c r="V38" s="37"/>
      <c r="W38" s="38"/>
      <c r="X38" s="37"/>
      <c r="Y38" s="37"/>
      <c r="Z38" s="37"/>
      <c r="AA38" s="37"/>
      <c r="AB38" s="38"/>
      <c r="AC38" s="38"/>
      <c r="AD38" s="37"/>
      <c r="AE38" s="46"/>
      <c r="AF38" s="40"/>
      <c r="AG38" s="24"/>
      <c r="AH38" s="44"/>
      <c r="AI38" s="54"/>
    </row>
    <row r="39" spans="1:35" ht="21" customHeight="1" thickBot="1" x14ac:dyDescent="0.35">
      <c r="A39" s="35"/>
      <c r="G39" s="6"/>
      <c r="H39" s="34"/>
      <c r="I39" s="6"/>
      <c r="J39" s="6"/>
      <c r="K39" s="6"/>
      <c r="L39" s="6"/>
      <c r="M39" s="6"/>
      <c r="R39" s="6"/>
      <c r="S39" s="47">
        <f t="shared" ref="S39:AE39" si="109">SUM(S7:S38)</f>
        <v>885710</v>
      </c>
      <c r="T39" s="29">
        <f t="shared" si="109"/>
        <v>524486</v>
      </c>
      <c r="U39" s="29">
        <f t="shared" si="109"/>
        <v>281974</v>
      </c>
      <c r="V39" s="29">
        <f t="shared" si="109"/>
        <v>44294</v>
      </c>
      <c r="W39" s="29">
        <f t="shared" si="109"/>
        <v>0</v>
      </c>
      <c r="X39" s="29">
        <f t="shared" si="109"/>
        <v>850754</v>
      </c>
      <c r="Y39" s="29">
        <f t="shared" si="109"/>
        <v>31080</v>
      </c>
      <c r="Z39" s="29">
        <f t="shared" si="109"/>
        <v>31080</v>
      </c>
      <c r="AA39" s="29">
        <f t="shared" si="109"/>
        <v>1072</v>
      </c>
      <c r="AB39" s="29">
        <f t="shared" si="109"/>
        <v>90800</v>
      </c>
      <c r="AC39" s="29">
        <f t="shared" si="109"/>
        <v>0</v>
      </c>
      <c r="AD39" s="29">
        <f t="shared" si="109"/>
        <v>122952</v>
      </c>
      <c r="AE39" s="48">
        <f t="shared" si="109"/>
        <v>727802</v>
      </c>
      <c r="AF39" s="4"/>
      <c r="AG39" s="4"/>
      <c r="AH39" s="4"/>
    </row>
    <row r="40" spans="1:35" ht="15.6" x14ac:dyDescent="0.3">
      <c r="P40" s="112"/>
      <c r="AG40" s="4"/>
      <c r="AH40" s="4"/>
    </row>
    <row r="41" spans="1:35" x14ac:dyDescent="0.3">
      <c r="X41" s="31"/>
      <c r="AE41" s="12"/>
    </row>
    <row r="42" spans="1:35" x14ac:dyDescent="0.3">
      <c r="R42" s="12"/>
      <c r="AC42" s="12"/>
    </row>
    <row r="43" spans="1:35" x14ac:dyDescent="0.3">
      <c r="AD43" s="12"/>
      <c r="AE43" s="12"/>
    </row>
    <row r="45" spans="1:35" ht="15.6" x14ac:dyDescent="0.3">
      <c r="AE45" s="18"/>
    </row>
  </sheetData>
  <mergeCells count="11">
    <mergeCell ref="G4:G5"/>
    <mergeCell ref="A4:A5"/>
    <mergeCell ref="B4:B5"/>
    <mergeCell ref="C4:C5"/>
    <mergeCell ref="D4:D5"/>
    <mergeCell ref="E4:E5"/>
    <mergeCell ref="AH4:AH5"/>
    <mergeCell ref="AI4:AI5"/>
    <mergeCell ref="AG4:AG5"/>
    <mergeCell ref="AF4:AF5"/>
    <mergeCell ref="AA4:AC4"/>
  </mergeCells>
  <conditionalFormatting sqref="B1:B1048576">
    <cfRule type="duplicateValues" dxfId="0" priority="1"/>
  </conditionalFormatting>
  <pageMargins left="0.15" right="0.11" top="0.44" bottom="0.03" header="0" footer="0.05"/>
  <pageSetup paperSize="5" scale="51" fitToHeight="0" orientation="landscape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APR-26</vt:lpstr>
      <vt:lpstr>'APR-26'!Print_Area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Jain</dc:creator>
  <cp:lastModifiedBy>User</cp:lastModifiedBy>
  <cp:lastPrinted>2025-11-06T14:33:21Z</cp:lastPrinted>
  <dcterms:created xsi:type="dcterms:W3CDTF">2024-04-11T13:13:25Z</dcterms:created>
  <dcterms:modified xsi:type="dcterms:W3CDTF">2026-05-27T15:18:25Z</dcterms:modified>
</cp:coreProperties>
</file>