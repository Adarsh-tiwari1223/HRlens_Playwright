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IKAS WORK DATA\00. Salary Master\FY'26-27\1- Salary - APR 2026\0.Salary Apr'26\ORIGINATOR, JOBVRITTA, BVB\"/>
    </mc:Choice>
  </mc:AlternateContent>
  <xr:revisionPtr revIDLastSave="0" documentId="13_ncr:1_{B8A7695B-16D1-4607-A00B-0C50430FB6AC}" xr6:coauthVersionLast="36" xr6:coauthVersionMax="36" xr10:uidLastSave="{00000000-0000-0000-0000-000000000000}"/>
  <bookViews>
    <workbookView xWindow="0" yWindow="0" windowWidth="20490" windowHeight="7425" tabRatio="583" xr2:uid="{00000000-000D-0000-FFFF-FFFF00000000}"/>
  </bookViews>
  <sheets>
    <sheet name="APR'26" sheetId="30" r:id="rId1"/>
  </sheets>
  <definedNames>
    <definedName name="_xlnm._FilterDatabase" localSheetId="0" hidden="1">'APR''26'!$A$7:$AB$7</definedName>
  </definedNames>
  <calcPr calcId="191029"/>
</workbook>
</file>

<file path=xl/calcChain.xml><?xml version="1.0" encoding="utf-8"?>
<calcChain xmlns="http://schemas.openxmlformats.org/spreadsheetml/2006/main">
  <c r="U26" i="30" l="1"/>
  <c r="V26" i="30"/>
  <c r="Q26" i="30"/>
  <c r="AC17" i="30"/>
  <c r="AE17" i="30" s="1"/>
  <c r="A9" i="30" l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8" i="30"/>
  <c r="L25" i="30"/>
  <c r="M25" i="30" s="1"/>
  <c r="N25" i="30"/>
  <c r="S25" i="30" s="1"/>
  <c r="O25" i="30"/>
  <c r="P25" i="30"/>
  <c r="R25" i="30" l="1"/>
  <c r="T25" i="30" s="1"/>
  <c r="W25" i="30" s="1"/>
  <c r="X25" i="30" s="1"/>
  <c r="P24" i="30" l="1"/>
  <c r="O24" i="30"/>
  <c r="N24" i="30"/>
  <c r="S24" i="30" s="1"/>
  <c r="L24" i="30"/>
  <c r="M24" i="30" s="1"/>
  <c r="P22" i="30"/>
  <c r="O22" i="30"/>
  <c r="N22" i="30"/>
  <c r="S22" i="30" s="1"/>
  <c r="L22" i="30"/>
  <c r="M22" i="30" s="1"/>
  <c r="P21" i="30"/>
  <c r="O21" i="30"/>
  <c r="N21" i="30"/>
  <c r="S21" i="30" s="1"/>
  <c r="L21" i="30"/>
  <c r="M21" i="30" s="1"/>
  <c r="P20" i="30"/>
  <c r="O20" i="30"/>
  <c r="N20" i="30"/>
  <c r="S20" i="30" s="1"/>
  <c r="L20" i="30"/>
  <c r="M20" i="30" s="1"/>
  <c r="P17" i="30"/>
  <c r="O17" i="30"/>
  <c r="N17" i="30"/>
  <c r="S17" i="30" s="1"/>
  <c r="L17" i="30"/>
  <c r="M17" i="30" s="1"/>
  <c r="P16" i="30"/>
  <c r="O16" i="30"/>
  <c r="N16" i="30"/>
  <c r="S16" i="30" s="1"/>
  <c r="L16" i="30"/>
  <c r="M16" i="30" s="1"/>
  <c r="P15" i="30"/>
  <c r="O15" i="30"/>
  <c r="N15" i="30"/>
  <c r="S15" i="30" s="1"/>
  <c r="L15" i="30"/>
  <c r="M15" i="30" s="1"/>
  <c r="W7" i="30"/>
  <c r="P7" i="30"/>
  <c r="O7" i="30"/>
  <c r="N7" i="30"/>
  <c r="L7" i="30"/>
  <c r="M7" i="30" s="1"/>
  <c r="R24" i="30" l="1"/>
  <c r="T24" i="30" s="1"/>
  <c r="W24" i="30" s="1"/>
  <c r="X24" i="30" s="1"/>
  <c r="R22" i="30"/>
  <c r="T22" i="30" s="1"/>
  <c r="W22" i="30" s="1"/>
  <c r="X22" i="30" s="1"/>
  <c r="R21" i="30"/>
  <c r="T21" i="30" s="1"/>
  <c r="W21" i="30" s="1"/>
  <c r="X21" i="30" s="1"/>
  <c r="R17" i="30"/>
  <c r="T17" i="30" s="1"/>
  <c r="W17" i="30" s="1"/>
  <c r="X17" i="30" s="1"/>
  <c r="R16" i="30"/>
  <c r="T16" i="30" s="1"/>
  <c r="W16" i="30" s="1"/>
  <c r="X16" i="30" s="1"/>
  <c r="R20" i="30"/>
  <c r="T20" i="30" s="1"/>
  <c r="W20" i="30" s="1"/>
  <c r="X20" i="30" s="1"/>
  <c r="R15" i="30"/>
  <c r="W15" i="30" s="1"/>
  <c r="X15" i="30" s="1"/>
  <c r="R7" i="30"/>
  <c r="L18" i="30"/>
  <c r="M18" i="30" s="1"/>
  <c r="N18" i="30"/>
  <c r="S18" i="30" s="1"/>
  <c r="O18" i="30"/>
  <c r="P18" i="30"/>
  <c r="L19" i="30"/>
  <c r="M19" i="30" s="1"/>
  <c r="N19" i="30"/>
  <c r="S19" i="30" s="1"/>
  <c r="O19" i="30"/>
  <c r="P19" i="30"/>
  <c r="L23" i="30"/>
  <c r="M23" i="30" s="1"/>
  <c r="N23" i="30"/>
  <c r="S23" i="30" s="1"/>
  <c r="O23" i="30"/>
  <c r="P23" i="30"/>
  <c r="X7" i="30" l="1"/>
  <c r="R19" i="30"/>
  <c r="T19" i="30" s="1"/>
  <c r="W19" i="30" s="1"/>
  <c r="R18" i="30"/>
  <c r="T18" i="30" s="1"/>
  <c r="W18" i="30" s="1"/>
  <c r="X18" i="30" s="1"/>
  <c r="R23" i="30"/>
  <c r="T23" i="30" s="1"/>
  <c r="W23" i="30" s="1"/>
  <c r="X23" i="30" s="1"/>
  <c r="X19" i="30" l="1"/>
  <c r="P11" i="30" l="1"/>
  <c r="O11" i="30"/>
  <c r="N11" i="30"/>
  <c r="S11" i="30" s="1"/>
  <c r="L11" i="30"/>
  <c r="M11" i="30" s="1"/>
  <c r="P13" i="30"/>
  <c r="O13" i="30"/>
  <c r="N13" i="30"/>
  <c r="S13" i="30" s="1"/>
  <c r="L13" i="30"/>
  <c r="M13" i="30" s="1"/>
  <c r="P14" i="30"/>
  <c r="O14" i="30"/>
  <c r="N14" i="30"/>
  <c r="S14" i="30" s="1"/>
  <c r="L14" i="30"/>
  <c r="M14" i="30" s="1"/>
  <c r="N8" i="30"/>
  <c r="O8" i="30"/>
  <c r="P8" i="30"/>
  <c r="N9" i="30"/>
  <c r="O9" i="30"/>
  <c r="P9" i="30"/>
  <c r="N10" i="30"/>
  <c r="O10" i="30"/>
  <c r="P10" i="30"/>
  <c r="N12" i="30"/>
  <c r="S12" i="30" s="1"/>
  <c r="O12" i="30"/>
  <c r="P12" i="30"/>
  <c r="L8" i="30"/>
  <c r="M8" i="30" s="1"/>
  <c r="L9" i="30"/>
  <c r="M9" i="30" s="1"/>
  <c r="L10" i="30"/>
  <c r="M10" i="30" s="1"/>
  <c r="L12" i="30"/>
  <c r="M12" i="30" s="1"/>
  <c r="P26" i="30" l="1"/>
  <c r="O26" i="30"/>
  <c r="S8" i="30"/>
  <c r="N26" i="30"/>
  <c r="S9" i="30"/>
  <c r="S10" i="30"/>
  <c r="W10" i="30" s="1"/>
  <c r="R11" i="30"/>
  <c r="T11" i="30" s="1"/>
  <c r="R13" i="30"/>
  <c r="R8" i="30"/>
  <c r="R10" i="30"/>
  <c r="R9" i="30"/>
  <c r="R14" i="30"/>
  <c r="T14" i="30" s="1"/>
  <c r="R12" i="30"/>
  <c r="S26" i="30" l="1"/>
  <c r="R26" i="30"/>
  <c r="X10" i="30"/>
  <c r="W11" i="30"/>
  <c r="X11" i="30" s="1"/>
  <c r="T9" i="30"/>
  <c r="W9" i="30" s="1"/>
  <c r="X9" i="30" s="1"/>
  <c r="T13" i="30"/>
  <c r="W13" i="30" s="1"/>
  <c r="X13" i="30" s="1"/>
  <c r="T12" i="30"/>
  <c r="W12" i="30" s="1"/>
  <c r="X12" i="30" s="1"/>
  <c r="W14" i="30"/>
  <c r="X14" i="30" s="1"/>
  <c r="T8" i="30"/>
  <c r="T26" i="30" l="1"/>
  <c r="W8" i="30"/>
  <c r="X8" i="30" l="1"/>
  <c r="X26" i="30" s="1"/>
  <c r="W26" i="30"/>
</calcChain>
</file>

<file path=xl/sharedStrings.xml><?xml version="1.0" encoding="utf-8"?>
<sst xmlns="http://schemas.openxmlformats.org/spreadsheetml/2006/main" count="115" uniqueCount="102">
  <si>
    <t xml:space="preserve">Sl. </t>
  </si>
  <si>
    <t>Emp. Name</t>
  </si>
  <si>
    <t>Emp.</t>
  </si>
  <si>
    <t>Total</t>
  </si>
  <si>
    <t>Basic</t>
  </si>
  <si>
    <t>H.R.A.</t>
  </si>
  <si>
    <t>Conv.</t>
  </si>
  <si>
    <t>DEDUCTIONS</t>
  </si>
  <si>
    <t>TOT.</t>
  </si>
  <si>
    <t xml:space="preserve">Net </t>
  </si>
  <si>
    <t>No.</t>
  </si>
  <si>
    <t>Code</t>
  </si>
  <si>
    <t>Days</t>
  </si>
  <si>
    <t>Salary</t>
  </si>
  <si>
    <t>Amt.</t>
  </si>
  <si>
    <t>P.F.</t>
  </si>
  <si>
    <t>E.S.I.</t>
  </si>
  <si>
    <t>ADV.</t>
  </si>
  <si>
    <t>T.D.S.</t>
  </si>
  <si>
    <t>Ded.</t>
  </si>
  <si>
    <t>Payable</t>
  </si>
  <si>
    <t>PAN</t>
  </si>
  <si>
    <t>DOB</t>
  </si>
  <si>
    <t>Reserve Leave</t>
  </si>
  <si>
    <t>INCE.</t>
  </si>
  <si>
    <t>UAN</t>
  </si>
  <si>
    <t>IP NO.</t>
  </si>
  <si>
    <t>DAYS</t>
  </si>
  <si>
    <t>N/A</t>
  </si>
  <si>
    <t>Casual Leave</t>
  </si>
  <si>
    <t>SHUBHAM SINGH</t>
  </si>
  <si>
    <t>SATYAM PRAJAPATI</t>
  </si>
  <si>
    <t>MRYPS9211E</t>
  </si>
  <si>
    <t>GDEPP3755E</t>
  </si>
  <si>
    <t>10.10.2001</t>
  </si>
  <si>
    <t>18.11.2003</t>
  </si>
  <si>
    <t>29.03.2002</t>
  </si>
  <si>
    <t xml:space="preserve"> INIT TALENT PRIVATE LIMITED</t>
  </si>
  <si>
    <t>NITIN SINGH</t>
  </si>
  <si>
    <t>NALIN UPADHYAY</t>
  </si>
  <si>
    <t>SONALI SINGH</t>
  </si>
  <si>
    <t>TUSHAR VERMA</t>
  </si>
  <si>
    <t>AUQPM9992F</t>
  </si>
  <si>
    <t>08.11.1984</t>
  </si>
  <si>
    <t>SRAPS0919F</t>
  </si>
  <si>
    <t>18.08.2025</t>
  </si>
  <si>
    <t>ASVPY6373K</t>
  </si>
  <si>
    <t>20.06.1998</t>
  </si>
  <si>
    <t>CKDPV6492C</t>
  </si>
  <si>
    <t>11.12.2004</t>
  </si>
  <si>
    <t>ASFPU3337B</t>
  </si>
  <si>
    <t>22.02.2004</t>
  </si>
  <si>
    <t>SQNPS9935R</t>
  </si>
  <si>
    <t>16.04.2006</t>
  </si>
  <si>
    <t>BIJENDRA KUMAR YADAV</t>
  </si>
  <si>
    <t>SANJEEV KUMAR MISHRA</t>
  </si>
  <si>
    <t>RANJEET PANDEY</t>
  </si>
  <si>
    <t>FVKPP6328E</t>
  </si>
  <si>
    <t>01.07.1995</t>
  </si>
  <si>
    <t>0500</t>
  </si>
  <si>
    <t>0149</t>
  </si>
  <si>
    <t>0119</t>
  </si>
  <si>
    <t>0146</t>
  </si>
  <si>
    <t>0739</t>
  </si>
  <si>
    <t>0410</t>
  </si>
  <si>
    <t>ABHAY KUMAR KANNAUJIA</t>
  </si>
  <si>
    <t>KAJAL SINGH</t>
  </si>
  <si>
    <t>PRIYANSHU KESHARWANI</t>
  </si>
  <si>
    <t>ANSHU TIWARI</t>
  </si>
  <si>
    <t>PRIYANSHU MAURYA</t>
  </si>
  <si>
    <t>ANANT RAJ SRIVASTAVA</t>
  </si>
  <si>
    <t xml:space="preserve">SARTHAK MISHRA </t>
  </si>
  <si>
    <t>ASHISH RAJ JAISWAL</t>
  </si>
  <si>
    <t>ARYAN KUMAR</t>
  </si>
  <si>
    <t>FTVPK5187B</t>
  </si>
  <si>
    <t>SNUPS6249N</t>
  </si>
  <si>
    <t>LAKPK3378Q</t>
  </si>
  <si>
    <t>CWJPT1533Q</t>
  </si>
  <si>
    <t>GYBPM0638H</t>
  </si>
  <si>
    <t>MDOPS7445A</t>
  </si>
  <si>
    <t>HLKPM4583A</t>
  </si>
  <si>
    <t>DHFPJ4849P</t>
  </si>
  <si>
    <t>MMQPK7464N</t>
  </si>
  <si>
    <t>10.09.1997</t>
  </si>
  <si>
    <t>23.09.2002</t>
  </si>
  <si>
    <t>18.09.2006</t>
  </si>
  <si>
    <t>10.09.2003</t>
  </si>
  <si>
    <t>24.09.1999</t>
  </si>
  <si>
    <t>14.04.2004</t>
  </si>
  <si>
    <t>22.08.2006</t>
  </si>
  <si>
    <t>27.03.2005</t>
  </si>
  <si>
    <t>SALARY FOR THE MONTH OF APRIL 2026</t>
  </si>
  <si>
    <t>This month  RL Added</t>
  </si>
  <si>
    <t>SINGH ANKIT KUMAR</t>
  </si>
  <si>
    <t>IZPPS3727A</t>
  </si>
  <si>
    <t>07.09.2000</t>
  </si>
  <si>
    <t>Extra Trf</t>
  </si>
  <si>
    <t>Salary trf</t>
  </si>
  <si>
    <t>Total trf</t>
  </si>
  <si>
    <t>Actual</t>
  </si>
  <si>
    <t>Extra Paid</t>
  </si>
  <si>
    <t>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</si>
</sst>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2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name val="Arial"/>
      <family val="2"/>
    </font>
    <font>
      <b/>
      <sz val="20"/>
      <name val="Arial"/>
      <family val="2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1" fillId="0" borderId="0"/>
  </cellStyleXfs>
  <cellXfs count="63">
    <xf numFmtId="0" fontId="0" fillId="0" borderId="0" xfId="0"/>
    <xf numFmtId="0" fontId="9" fillId="0" borderId="1" xfId="0" applyFont="1" applyFill="1" applyBorder="1" applyAlignment="1">
      <alignment horizontal="left"/>
    </xf>
    <xf numFmtId="0" fontId="8" fillId="0" borderId="1" xfId="0" applyFont="1" applyFill="1" applyBorder="1"/>
    <xf numFmtId="0" fontId="2" fillId="0" borderId="0" xfId="0" applyFont="1" applyFill="1"/>
    <xf numFmtId="0" fontId="4" fillId="0" borderId="0" xfId="0" applyFont="1" applyFill="1"/>
    <xf numFmtId="0" fontId="2" fillId="0" borderId="1" xfId="0" applyFont="1" applyFill="1" applyBorder="1"/>
    <xf numFmtId="0" fontId="8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shrinkToFit="1"/>
    </xf>
    <xf numFmtId="0" fontId="8" fillId="0" borderId="0" xfId="0" applyFont="1" applyFill="1" applyAlignment="1">
      <alignment horizontal="left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1" fontId="8" fillId="0" borderId="1" xfId="0" applyNumberFormat="1" applyFont="1" applyFill="1" applyBorder="1" applyAlignment="1">
      <alignment horizontal="center" vertical="center"/>
    </xf>
    <xf numFmtId="164" fontId="8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right" vertical="center"/>
    </xf>
    <xf numFmtId="49" fontId="2" fillId="0" borderId="0" xfId="0" applyNumberFormat="1" applyFont="1" applyFill="1" applyAlignment="1">
      <alignment horizontal="center"/>
    </xf>
    <xf numFmtId="0" fontId="6" fillId="0" borderId="0" xfId="0" applyFont="1" applyFill="1"/>
    <xf numFmtId="1" fontId="4" fillId="0" borderId="0" xfId="0" applyNumberFormat="1" applyFont="1" applyFill="1"/>
    <xf numFmtId="49" fontId="4" fillId="0" borderId="0" xfId="0" applyNumberFormat="1" applyFont="1" applyFill="1" applyAlignment="1">
      <alignment horizontal="center"/>
    </xf>
    <xf numFmtId="0" fontId="5" fillId="0" borderId="0" xfId="0" applyFont="1" applyFill="1"/>
    <xf numFmtId="1" fontId="2" fillId="0" borderId="1" xfId="0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vertical="center"/>
    </xf>
    <xf numFmtId="0" fontId="4" fillId="0" borderId="0" xfId="0" applyFont="1" applyFill="1" applyAlignment="1">
      <alignment horizontal="center"/>
    </xf>
    <xf numFmtId="164" fontId="4" fillId="0" borderId="0" xfId="0" applyNumberFormat="1" applyFont="1" applyFill="1" applyAlignment="1">
      <alignment horizontal="left"/>
    </xf>
    <xf numFmtId="164" fontId="5" fillId="0" borderId="0" xfId="0" applyNumberFormat="1" applyFont="1" applyFill="1" applyAlignment="1">
      <alignment horizontal="left"/>
    </xf>
    <xf numFmtId="164" fontId="8" fillId="0" borderId="0" xfId="0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1" fontId="8" fillId="0" borderId="1" xfId="0" applyNumberFormat="1" applyFont="1" applyFill="1" applyBorder="1" applyAlignment="1">
      <alignment horizontal="center"/>
    </xf>
    <xf numFmtId="14" fontId="8" fillId="0" borderId="1" xfId="0" applyNumberFormat="1" applyFont="1" applyFill="1" applyBorder="1" applyAlignment="1">
      <alignment horizontal="center" vertical="center"/>
    </xf>
    <xf numFmtId="0" fontId="10" fillId="0" borderId="5" xfId="0" applyFont="1" applyFill="1" applyBorder="1" applyAlignment="1"/>
    <xf numFmtId="1" fontId="2" fillId="0" borderId="1" xfId="0" applyNumberFormat="1" applyFont="1" applyFill="1" applyBorder="1" applyAlignment="1">
      <alignment vertical="center"/>
    </xf>
    <xf numFmtId="49" fontId="8" fillId="0" borderId="1" xfId="0" applyNumberFormat="1" applyFont="1" applyFill="1" applyBorder="1" applyAlignment="1">
      <alignment horizontal="center" vertical="center"/>
    </xf>
    <xf numFmtId="1" fontId="8" fillId="0" borderId="8" xfId="0" applyNumberFormat="1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 vertical="center"/>
    </xf>
    <xf numFmtId="1" fontId="13" fillId="0" borderId="1" xfId="0" applyNumberFormat="1" applyFont="1" applyFill="1" applyBorder="1" applyAlignment="1">
      <alignment horizontal="center"/>
    </xf>
    <xf numFmtId="0" fontId="13" fillId="0" borderId="1" xfId="0" applyFont="1" applyFill="1" applyBorder="1" applyAlignment="1">
      <alignment horizontal="left"/>
    </xf>
    <xf numFmtId="14" fontId="13" fillId="0" borderId="1" xfId="0" applyNumberFormat="1" applyFont="1" applyFill="1" applyBorder="1" applyAlignment="1">
      <alignment horizontal="center" vertical="center"/>
    </xf>
    <xf numFmtId="49" fontId="13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/>
    <xf numFmtId="0" fontId="14" fillId="0" borderId="1" xfId="0" applyFont="1" applyFill="1" applyBorder="1" applyAlignment="1">
      <alignment horizontal="left"/>
    </xf>
    <xf numFmtId="1" fontId="12" fillId="0" borderId="1" xfId="0" applyNumberFormat="1" applyFont="1" applyFill="1" applyBorder="1" applyAlignment="1">
      <alignment horizontal="center" vertical="center"/>
    </xf>
    <xf numFmtId="1" fontId="13" fillId="0" borderId="1" xfId="0" applyNumberFormat="1" applyFont="1" applyFill="1" applyBorder="1" applyAlignment="1">
      <alignment horizontal="center" vertical="center"/>
    </xf>
    <xf numFmtId="1" fontId="12" fillId="0" borderId="1" xfId="0" applyNumberFormat="1" applyFont="1" applyFill="1" applyBorder="1" applyAlignment="1">
      <alignment vertical="center"/>
    </xf>
    <xf numFmtId="0" fontId="13" fillId="0" borderId="1" xfId="0" applyFont="1" applyFill="1" applyBorder="1"/>
    <xf numFmtId="0" fontId="15" fillId="0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0" fillId="2" borderId="0" xfId="0" applyFill="1"/>
    <xf numFmtId="0" fontId="8" fillId="0" borderId="1" xfId="0" applyNumberFormat="1" applyFont="1" applyFill="1" applyBorder="1" applyAlignment="1">
      <alignment horizontal="center" vertical="center"/>
    </xf>
    <xf numFmtId="164" fontId="13" fillId="0" borderId="1" xfId="0" applyNumberFormat="1" applyFont="1" applyFill="1" applyBorder="1" applyAlignment="1">
      <alignment horizontal="center"/>
    </xf>
    <xf numFmtId="0" fontId="12" fillId="0" borderId="1" xfId="0" applyFont="1" applyFill="1" applyBorder="1" applyAlignment="1">
      <alignment horizontal="right" vertical="center"/>
    </xf>
    <xf numFmtId="0" fontId="12" fillId="0" borderId="1" xfId="0" applyFont="1" applyBorder="1" applyAlignment="1">
      <alignment horizontal="center"/>
    </xf>
    <xf numFmtId="0" fontId="0" fillId="2" borderId="0" xfId="0" applyFill="1" applyAlignment="1">
      <alignment horizontal="left"/>
    </xf>
    <xf numFmtId="0" fontId="9" fillId="3" borderId="1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left"/>
    </xf>
    <xf numFmtId="0" fontId="11" fillId="0" borderId="0" xfId="0" applyFont="1" applyFill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/>
    </xf>
    <xf numFmtId="0" fontId="7" fillId="0" borderId="4" xfId="0" applyFont="1" applyFill="1" applyBorder="1" applyAlignment="1">
      <alignment horizontal="center"/>
    </xf>
    <xf numFmtId="0" fontId="7" fillId="0" borderId="5" xfId="0" applyFont="1" applyFill="1" applyBorder="1" applyAlignment="1">
      <alignment horizontal="center"/>
    </xf>
    <xf numFmtId="49" fontId="8" fillId="0" borderId="6" xfId="0" applyNumberFormat="1" applyFont="1" applyFill="1" applyBorder="1" applyAlignment="1">
      <alignment horizontal="center" vertical="center" wrapText="1"/>
    </xf>
    <xf numFmtId="49" fontId="8" fillId="0" borderId="2" xfId="0" applyNumberFormat="1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/>
    </xf>
    <xf numFmtId="0" fontId="10" fillId="0" borderId="4" xfId="0" applyFont="1" applyFill="1" applyBorder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"/>
  <sheetViews>
    <sheetView tabSelected="1" topLeftCell="D1" zoomScale="70" zoomScaleNormal="70" workbookViewId="0">
      <pane ySplit="6" topLeftCell="A7" activePane="bottomLeft" state="frozen"/>
      <selection pane="bottomLeft" activeCell="AE17" sqref="AE17"/>
    </sheetView>
  </sheetViews>
  <sheetFormatPr defaultColWidth="9.28515625" defaultRowHeight="18.75" x14ac:dyDescent="0.3"/>
  <cols>
    <col min="1" max="1" width="5.85546875" style="4" customWidth="1"/>
    <col min="2" max="2" width="16.28515625" style="4" bestFit="1" customWidth="1"/>
    <col min="3" max="3" width="13.5703125" style="4" bestFit="1" customWidth="1"/>
    <col min="4" max="4" width="27.7109375" style="4" customWidth="1"/>
    <col min="5" max="5" width="15.140625" style="4" customWidth="1"/>
    <col min="6" max="6" width="13.7109375" style="4" customWidth="1"/>
    <col min="7" max="7" width="7.5703125" style="4" customWidth="1"/>
    <col min="8" max="8" width="6" style="22" customWidth="1"/>
    <col min="9" max="10" width="7.42578125" style="4" customWidth="1"/>
    <col min="11" max="11" width="7.7109375" style="4" customWidth="1"/>
    <col min="12" max="12" width="8.7109375" style="4" customWidth="1"/>
    <col min="13" max="13" width="10" style="4" customWidth="1"/>
    <col min="14" max="15" width="8.7109375" style="4" customWidth="1"/>
    <col min="16" max="16" width="7.7109375" style="4" customWidth="1"/>
    <col min="17" max="17" width="7.42578125" style="4" customWidth="1"/>
    <col min="18" max="18" width="8.7109375" style="4" customWidth="1"/>
    <col min="19" max="19" width="9.5703125" style="4" customWidth="1"/>
    <col min="20" max="20" width="6.7109375" style="4" customWidth="1"/>
    <col min="21" max="21" width="7.42578125" style="4" customWidth="1"/>
    <col min="22" max="22" width="6.7109375" style="4" customWidth="1"/>
    <col min="23" max="24" width="8.7109375" style="4" customWidth="1"/>
    <col min="25" max="25" width="8.7109375" style="18" customWidth="1"/>
    <col min="26" max="26" width="8.7109375" style="22" customWidth="1"/>
    <col min="27" max="27" width="7" style="26" customWidth="1"/>
    <col min="28" max="28" width="6.28515625" bestFit="1" customWidth="1"/>
    <col min="29" max="29" width="7" customWidth="1"/>
  </cols>
  <sheetData>
    <row r="1" spans="1:32" s="4" customFormat="1" ht="20.25" customHeight="1" x14ac:dyDescent="0.3">
      <c r="A1" s="54" t="s">
        <v>37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23"/>
    </row>
    <row r="2" spans="1:32" s="4" customFormat="1" ht="18.75" customHeight="1" x14ac:dyDescent="0.3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23"/>
    </row>
    <row r="3" spans="1:32" s="4" customFormat="1" x14ac:dyDescent="0.3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24" t="s">
        <v>27</v>
      </c>
      <c r="AB3" s="19">
        <v>30</v>
      </c>
    </row>
    <row r="4" spans="1:32" s="4" customFormat="1" ht="21" customHeight="1" x14ac:dyDescent="0.3">
      <c r="A4" s="61" t="s">
        <v>91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29"/>
      <c r="AA4" s="23"/>
    </row>
    <row r="5" spans="1:32" s="4" customFormat="1" ht="18.75" customHeight="1" x14ac:dyDescent="0.3">
      <c r="A5" s="6" t="s">
        <v>0</v>
      </c>
      <c r="B5" s="6" t="s">
        <v>25</v>
      </c>
      <c r="C5" s="6" t="s">
        <v>26</v>
      </c>
      <c r="D5" s="6" t="s">
        <v>1</v>
      </c>
      <c r="E5" s="6" t="s">
        <v>21</v>
      </c>
      <c r="F5" s="6" t="s">
        <v>22</v>
      </c>
      <c r="G5" s="6" t="s">
        <v>2</v>
      </c>
      <c r="H5" s="6" t="s">
        <v>3</v>
      </c>
      <c r="I5" s="6" t="s">
        <v>4</v>
      </c>
      <c r="J5" s="6" t="s">
        <v>5</v>
      </c>
      <c r="K5" s="7" t="s">
        <v>6</v>
      </c>
      <c r="L5" s="7"/>
      <c r="M5" s="6" t="s">
        <v>3</v>
      </c>
      <c r="N5" s="6" t="s">
        <v>4</v>
      </c>
      <c r="O5" s="6" t="s">
        <v>5</v>
      </c>
      <c r="P5" s="7" t="s">
        <v>6</v>
      </c>
      <c r="Q5" s="7" t="s">
        <v>24</v>
      </c>
      <c r="R5" s="6" t="s">
        <v>3</v>
      </c>
      <c r="S5" s="56" t="s">
        <v>7</v>
      </c>
      <c r="T5" s="57"/>
      <c r="U5" s="57"/>
      <c r="V5" s="58"/>
      <c r="W5" s="6" t="s">
        <v>8</v>
      </c>
      <c r="X5" s="6" t="s">
        <v>9</v>
      </c>
      <c r="Y5" s="59" t="s">
        <v>23</v>
      </c>
      <c r="Z5" s="59" t="s">
        <v>29</v>
      </c>
      <c r="AA5" s="23"/>
    </row>
    <row r="6" spans="1:32" s="4" customFormat="1" x14ac:dyDescent="0.3">
      <c r="A6" s="6" t="s">
        <v>10</v>
      </c>
      <c r="B6" s="6"/>
      <c r="C6" s="6"/>
      <c r="D6" s="6"/>
      <c r="E6" s="6"/>
      <c r="F6" s="6"/>
      <c r="G6" s="6" t="s">
        <v>11</v>
      </c>
      <c r="H6" s="6" t="s">
        <v>12</v>
      </c>
      <c r="I6" s="6" t="s">
        <v>13</v>
      </c>
      <c r="J6" s="6" t="s">
        <v>14</v>
      </c>
      <c r="K6" s="6" t="s">
        <v>14</v>
      </c>
      <c r="L6" s="6"/>
      <c r="M6" s="6" t="s">
        <v>14</v>
      </c>
      <c r="N6" s="6" t="s">
        <v>13</v>
      </c>
      <c r="O6" s="6" t="s">
        <v>14</v>
      </c>
      <c r="P6" s="6" t="s">
        <v>14</v>
      </c>
      <c r="Q6" s="8"/>
      <c r="R6" s="6" t="s">
        <v>14</v>
      </c>
      <c r="S6" s="6" t="s">
        <v>15</v>
      </c>
      <c r="T6" s="6" t="s">
        <v>16</v>
      </c>
      <c r="U6" s="6" t="s">
        <v>17</v>
      </c>
      <c r="V6" s="6" t="s">
        <v>18</v>
      </c>
      <c r="W6" s="6" t="s">
        <v>19</v>
      </c>
      <c r="X6" s="6" t="s">
        <v>20</v>
      </c>
      <c r="Y6" s="60"/>
      <c r="Z6" s="60"/>
      <c r="AA6" s="46" t="s">
        <v>92</v>
      </c>
      <c r="AB6"/>
    </row>
    <row r="7" spans="1:32" x14ac:dyDescent="0.3">
      <c r="A7" s="9">
        <v>1</v>
      </c>
      <c r="B7" s="27" t="s">
        <v>28</v>
      </c>
      <c r="C7" s="9" t="s">
        <v>28</v>
      </c>
      <c r="D7" s="52" t="s">
        <v>55</v>
      </c>
      <c r="E7" s="9" t="s">
        <v>42</v>
      </c>
      <c r="F7" s="9" t="s">
        <v>43</v>
      </c>
      <c r="G7" s="31" t="s">
        <v>63</v>
      </c>
      <c r="H7" s="13">
        <v>30</v>
      </c>
      <c r="I7" s="5">
        <v>62500</v>
      </c>
      <c r="J7" s="5">
        <v>50000</v>
      </c>
      <c r="K7" s="5">
        <v>12500</v>
      </c>
      <c r="L7" s="10">
        <f t="shared" ref="L7" si="0">I7+J7+K7</f>
        <v>125000</v>
      </c>
      <c r="M7" s="11">
        <f t="shared" ref="M7" si="1">L7</f>
        <v>125000</v>
      </c>
      <c r="N7" s="20">
        <f t="shared" ref="N7" si="2">ROUND(I7/$AB$3*H7,0)</f>
        <v>62500</v>
      </c>
      <c r="O7" s="20">
        <f t="shared" ref="O7" si="3">ROUND(J7/$AB$3*H7,0)</f>
        <v>50000</v>
      </c>
      <c r="P7" s="20">
        <f t="shared" ref="P7" si="4">ROUND(K7/$AB$3*H7,0)</f>
        <v>12500</v>
      </c>
      <c r="Q7" s="10"/>
      <c r="R7" s="12">
        <f t="shared" ref="R7" si="5">N7+O7+P7</f>
        <v>125000</v>
      </c>
      <c r="S7" s="21">
        <v>0</v>
      </c>
      <c r="T7" s="21">
        <v>0</v>
      </c>
      <c r="U7" s="44">
        <v>0</v>
      </c>
      <c r="V7" s="2"/>
      <c r="W7" s="12">
        <f t="shared" ref="W7" si="6">S7+T7+U7+V7</f>
        <v>0</v>
      </c>
      <c r="X7" s="12">
        <f t="shared" ref="X7" si="7">R7-W7</f>
        <v>125000</v>
      </c>
      <c r="Y7" s="13">
        <v>4</v>
      </c>
      <c r="Z7" s="13">
        <v>1</v>
      </c>
    </row>
    <row r="8" spans="1:32" x14ac:dyDescent="0.3">
      <c r="A8" s="9">
        <f>A7+1</f>
        <v>2</v>
      </c>
      <c r="B8" s="27">
        <v>102234795700</v>
      </c>
      <c r="C8" s="9">
        <v>2810815030</v>
      </c>
      <c r="D8" s="52" t="s">
        <v>30</v>
      </c>
      <c r="E8" s="9" t="s">
        <v>32</v>
      </c>
      <c r="F8" s="28" t="s">
        <v>34</v>
      </c>
      <c r="G8" s="31">
        <v>1426</v>
      </c>
      <c r="H8" s="13">
        <v>30</v>
      </c>
      <c r="I8" s="5">
        <v>13580</v>
      </c>
      <c r="J8" s="5">
        <v>1420</v>
      </c>
      <c r="K8" s="5">
        <v>0</v>
      </c>
      <c r="L8" s="10">
        <f t="shared" ref="L8:L15" si="8">I8+J8+K8</f>
        <v>15000</v>
      </c>
      <c r="M8" s="11">
        <f t="shared" ref="M8:M15" si="9">L8</f>
        <v>15000</v>
      </c>
      <c r="N8" s="20">
        <f t="shared" ref="N8:N13" si="10">ROUND(I8/$AB$3*H8,0)</f>
        <v>13580</v>
      </c>
      <c r="O8" s="20">
        <f t="shared" ref="O8:O13" si="11">ROUND(J8/$AB$3*H8,0)</f>
        <v>1420</v>
      </c>
      <c r="P8" s="20">
        <f t="shared" ref="P8:P13" si="12">ROUND(K8/$AB$3*H8,0)</f>
        <v>0</v>
      </c>
      <c r="Q8" s="10"/>
      <c r="R8" s="12">
        <f t="shared" ref="R8:R15" si="13">N8+O8+P8</f>
        <v>15000</v>
      </c>
      <c r="S8" s="14">
        <f>ROUND(IF(I8&gt;15000,(15000/$AB$3*H8)*12%,N8*12%),0)</f>
        <v>1630</v>
      </c>
      <c r="T8" s="30">
        <f t="shared" ref="T8:T9" si="14">ROUNDUP(R8*0.75%,0)</f>
        <v>113</v>
      </c>
      <c r="U8" s="45">
        <v>841</v>
      </c>
      <c r="V8" s="2"/>
      <c r="W8" s="12">
        <f t="shared" ref="W8:W15" si="15">S8+T8+U8+V8</f>
        <v>2584</v>
      </c>
      <c r="X8" s="12">
        <f t="shared" ref="X8:X15" si="16">R8-W8</f>
        <v>12416</v>
      </c>
      <c r="Y8" s="13">
        <v>4</v>
      </c>
      <c r="Z8" s="13">
        <v>1</v>
      </c>
      <c r="AA8"/>
    </row>
    <row r="9" spans="1:32" x14ac:dyDescent="0.3">
      <c r="A9" s="9">
        <f t="shared" ref="A9:A25" si="17">A8+1</f>
        <v>3</v>
      </c>
      <c r="B9" s="27">
        <v>102286864937</v>
      </c>
      <c r="C9" s="9">
        <v>2810815043</v>
      </c>
      <c r="D9" s="52" t="s">
        <v>31</v>
      </c>
      <c r="E9" s="9" t="s">
        <v>33</v>
      </c>
      <c r="F9" s="28" t="s">
        <v>36</v>
      </c>
      <c r="G9" s="31">
        <v>1431</v>
      </c>
      <c r="H9" s="13">
        <v>30</v>
      </c>
      <c r="I9" s="5">
        <v>13580</v>
      </c>
      <c r="J9" s="5">
        <v>1420</v>
      </c>
      <c r="K9" s="5">
        <v>0</v>
      </c>
      <c r="L9" s="10">
        <f t="shared" si="8"/>
        <v>15000</v>
      </c>
      <c r="M9" s="11">
        <f t="shared" si="9"/>
        <v>15000</v>
      </c>
      <c r="N9" s="20">
        <f t="shared" si="10"/>
        <v>13580</v>
      </c>
      <c r="O9" s="20">
        <f t="shared" si="11"/>
        <v>1420</v>
      </c>
      <c r="P9" s="20">
        <f t="shared" si="12"/>
        <v>0</v>
      </c>
      <c r="Q9" s="10"/>
      <c r="R9" s="12">
        <f t="shared" si="13"/>
        <v>15000</v>
      </c>
      <c r="S9" s="14">
        <f t="shared" ref="S9:S24" si="18">ROUND(IF(I9&gt;15000,(15000/$AB$3*H9)*12%,N9*12%),0)</f>
        <v>1630</v>
      </c>
      <c r="T9" s="30">
        <f t="shared" si="14"/>
        <v>113</v>
      </c>
      <c r="U9" s="45">
        <v>841</v>
      </c>
      <c r="V9" s="2"/>
      <c r="W9" s="12">
        <f t="shared" si="15"/>
        <v>2584</v>
      </c>
      <c r="X9" s="12">
        <f t="shared" si="16"/>
        <v>12416</v>
      </c>
      <c r="Y9" s="13">
        <v>4</v>
      </c>
      <c r="Z9" s="13">
        <v>0</v>
      </c>
      <c r="AA9"/>
    </row>
    <row r="10" spans="1:32" x14ac:dyDescent="0.3">
      <c r="A10" s="9">
        <f t="shared" si="17"/>
        <v>4</v>
      </c>
      <c r="B10" s="27">
        <v>102012552427</v>
      </c>
      <c r="C10" s="9" t="s">
        <v>28</v>
      </c>
      <c r="D10" s="52" t="s">
        <v>54</v>
      </c>
      <c r="E10" s="9" t="s">
        <v>46</v>
      </c>
      <c r="F10" s="9" t="s">
        <v>47</v>
      </c>
      <c r="G10" s="31" t="s">
        <v>59</v>
      </c>
      <c r="H10" s="13">
        <v>30</v>
      </c>
      <c r="I10" s="5">
        <v>16500</v>
      </c>
      <c r="J10" s="5">
        <v>13200</v>
      </c>
      <c r="K10" s="5">
        <v>3300</v>
      </c>
      <c r="L10" s="10">
        <f t="shared" si="8"/>
        <v>33000</v>
      </c>
      <c r="M10" s="11">
        <f t="shared" si="9"/>
        <v>33000</v>
      </c>
      <c r="N10" s="20">
        <f t="shared" si="10"/>
        <v>16500</v>
      </c>
      <c r="O10" s="20">
        <f t="shared" si="11"/>
        <v>13200</v>
      </c>
      <c r="P10" s="20">
        <f t="shared" si="12"/>
        <v>3300</v>
      </c>
      <c r="Q10" s="10"/>
      <c r="R10" s="12">
        <f t="shared" si="13"/>
        <v>33000</v>
      </c>
      <c r="S10" s="14">
        <f t="shared" si="18"/>
        <v>1800</v>
      </c>
      <c r="T10" s="21">
        <v>0</v>
      </c>
      <c r="U10" s="45">
        <v>841</v>
      </c>
      <c r="V10" s="2"/>
      <c r="W10" s="12">
        <f t="shared" si="15"/>
        <v>2641</v>
      </c>
      <c r="X10" s="12">
        <f t="shared" si="16"/>
        <v>30359</v>
      </c>
      <c r="Y10" s="13">
        <v>1</v>
      </c>
      <c r="Z10" s="13">
        <v>0</v>
      </c>
      <c r="AA10"/>
    </row>
    <row r="11" spans="1:32" x14ac:dyDescent="0.3">
      <c r="A11" s="9">
        <f t="shared" si="17"/>
        <v>5</v>
      </c>
      <c r="B11" s="27">
        <v>102207994770</v>
      </c>
      <c r="C11" s="9">
        <v>2810746953</v>
      </c>
      <c r="D11" s="52" t="s">
        <v>38</v>
      </c>
      <c r="E11" s="9" t="s">
        <v>52</v>
      </c>
      <c r="F11" s="9" t="s">
        <v>53</v>
      </c>
      <c r="G11" s="31" t="s">
        <v>60</v>
      </c>
      <c r="H11" s="13">
        <v>30</v>
      </c>
      <c r="I11" s="5">
        <v>13580</v>
      </c>
      <c r="J11" s="5">
        <v>7420</v>
      </c>
      <c r="K11" s="5">
        <v>0</v>
      </c>
      <c r="L11" s="10">
        <f t="shared" ref="L11" si="19">I11+J11+K11</f>
        <v>21000</v>
      </c>
      <c r="M11" s="11">
        <f t="shared" ref="M11" si="20">L11</f>
        <v>21000</v>
      </c>
      <c r="N11" s="20">
        <f t="shared" ref="N11" si="21">ROUND(I11/$AB$3*H11,0)</f>
        <v>13580</v>
      </c>
      <c r="O11" s="20">
        <f t="shared" ref="O11" si="22">ROUND(J11/$AB$3*H11,0)</f>
        <v>7420</v>
      </c>
      <c r="P11" s="20">
        <f t="shared" ref="P11" si="23">ROUND(K11/$AB$3*H11,0)</f>
        <v>0</v>
      </c>
      <c r="Q11" s="10"/>
      <c r="R11" s="12">
        <f t="shared" ref="R11" si="24">N11+O11+P11</f>
        <v>21000</v>
      </c>
      <c r="S11" s="14">
        <f t="shared" si="18"/>
        <v>1630</v>
      </c>
      <c r="T11" s="30">
        <f t="shared" ref="T11:T12" si="25">ROUNDUP(R11*0.75%,0)</f>
        <v>158</v>
      </c>
      <c r="U11" s="45">
        <v>841</v>
      </c>
      <c r="V11" s="2"/>
      <c r="W11" s="12">
        <f t="shared" ref="W11" si="26">S11+T11+U11+V11</f>
        <v>2629</v>
      </c>
      <c r="X11" s="12">
        <f t="shared" ref="X11" si="27">R11-W11</f>
        <v>18371</v>
      </c>
      <c r="Y11" s="13">
        <v>4</v>
      </c>
      <c r="Z11" s="13">
        <v>2</v>
      </c>
      <c r="AA11"/>
    </row>
    <row r="12" spans="1:32" x14ac:dyDescent="0.3">
      <c r="A12" s="33">
        <f t="shared" si="17"/>
        <v>6</v>
      </c>
      <c r="B12" s="34">
        <v>102407994789</v>
      </c>
      <c r="C12" s="33">
        <v>2810746940</v>
      </c>
      <c r="D12" s="35" t="s">
        <v>39</v>
      </c>
      <c r="E12" s="33" t="s">
        <v>50</v>
      </c>
      <c r="F12" s="36" t="s">
        <v>51</v>
      </c>
      <c r="G12" s="37" t="s">
        <v>61</v>
      </c>
      <c r="H12" s="48">
        <v>13</v>
      </c>
      <c r="I12" s="38">
        <v>13580</v>
      </c>
      <c r="J12" s="38">
        <v>1420</v>
      </c>
      <c r="K12" s="38">
        <v>0</v>
      </c>
      <c r="L12" s="35">
        <f t="shared" si="8"/>
        <v>15000</v>
      </c>
      <c r="M12" s="39">
        <f t="shared" si="9"/>
        <v>15000</v>
      </c>
      <c r="N12" s="40">
        <f t="shared" si="10"/>
        <v>5885</v>
      </c>
      <c r="O12" s="40">
        <f t="shared" si="11"/>
        <v>615</v>
      </c>
      <c r="P12" s="40">
        <f t="shared" si="12"/>
        <v>0</v>
      </c>
      <c r="Q12" s="35"/>
      <c r="R12" s="41">
        <f t="shared" si="13"/>
        <v>6500</v>
      </c>
      <c r="S12" s="49">
        <f t="shared" si="18"/>
        <v>706</v>
      </c>
      <c r="T12" s="42">
        <f t="shared" si="25"/>
        <v>49</v>
      </c>
      <c r="U12" s="50">
        <v>841</v>
      </c>
      <c r="V12" s="43"/>
      <c r="W12" s="41">
        <f t="shared" si="15"/>
        <v>1596</v>
      </c>
      <c r="X12" s="41">
        <f t="shared" si="16"/>
        <v>4904</v>
      </c>
      <c r="Y12" s="48">
        <v>1</v>
      </c>
      <c r="Z12" s="48">
        <v>0</v>
      </c>
      <c r="AA12"/>
    </row>
    <row r="13" spans="1:32" x14ac:dyDescent="0.3">
      <c r="A13" s="9">
        <f t="shared" si="17"/>
        <v>7</v>
      </c>
      <c r="B13" s="27">
        <v>102244257525</v>
      </c>
      <c r="C13" s="9">
        <v>6725003816</v>
      </c>
      <c r="D13" s="52" t="s">
        <v>40</v>
      </c>
      <c r="E13" s="9" t="s">
        <v>44</v>
      </c>
      <c r="F13" s="28" t="s">
        <v>45</v>
      </c>
      <c r="G13" s="31">
        <v>1086</v>
      </c>
      <c r="H13" s="13">
        <v>30</v>
      </c>
      <c r="I13" s="5">
        <v>13580</v>
      </c>
      <c r="J13" s="5">
        <v>6420</v>
      </c>
      <c r="K13" s="5">
        <v>0</v>
      </c>
      <c r="L13" s="10">
        <f t="shared" si="8"/>
        <v>20000</v>
      </c>
      <c r="M13" s="11">
        <f t="shared" si="9"/>
        <v>20000</v>
      </c>
      <c r="N13" s="20">
        <f t="shared" si="10"/>
        <v>13580</v>
      </c>
      <c r="O13" s="20">
        <f t="shared" si="11"/>
        <v>6420</v>
      </c>
      <c r="P13" s="20">
        <f t="shared" si="12"/>
        <v>0</v>
      </c>
      <c r="Q13" s="10"/>
      <c r="R13" s="12">
        <f t="shared" si="13"/>
        <v>20000</v>
      </c>
      <c r="S13" s="14">
        <f t="shared" si="18"/>
        <v>1630</v>
      </c>
      <c r="T13" s="30">
        <f t="shared" ref="T13:T14" si="28">ROUNDUP(R13*0.75%,0)</f>
        <v>150</v>
      </c>
      <c r="U13" s="45">
        <v>841</v>
      </c>
      <c r="V13" s="2"/>
      <c r="W13" s="12">
        <f t="shared" si="15"/>
        <v>2621</v>
      </c>
      <c r="X13" s="12">
        <f t="shared" si="16"/>
        <v>17379</v>
      </c>
      <c r="Y13" s="13">
        <v>1</v>
      </c>
      <c r="Z13" s="13">
        <v>1</v>
      </c>
      <c r="AA13"/>
    </row>
    <row r="14" spans="1:32" x14ac:dyDescent="0.3">
      <c r="A14" s="9">
        <f t="shared" si="17"/>
        <v>8</v>
      </c>
      <c r="B14" s="27">
        <v>102207994855</v>
      </c>
      <c r="C14" s="9">
        <v>2810746939</v>
      </c>
      <c r="D14" s="53" t="s">
        <v>41</v>
      </c>
      <c r="E14" s="9" t="s">
        <v>48</v>
      </c>
      <c r="F14" s="28" t="s">
        <v>49</v>
      </c>
      <c r="G14" s="31" t="s">
        <v>62</v>
      </c>
      <c r="H14" s="13">
        <v>30</v>
      </c>
      <c r="I14" s="5">
        <v>13580</v>
      </c>
      <c r="J14" s="5">
        <v>7420</v>
      </c>
      <c r="K14" s="5">
        <v>0</v>
      </c>
      <c r="L14" s="10">
        <f t="shared" si="8"/>
        <v>21000</v>
      </c>
      <c r="M14" s="11">
        <f t="shared" si="9"/>
        <v>21000</v>
      </c>
      <c r="N14" s="20">
        <f t="shared" ref="N14:N15" si="29">ROUND(I14/$AB$3*H14,0)</f>
        <v>13580</v>
      </c>
      <c r="O14" s="20">
        <f t="shared" ref="O14:O15" si="30">ROUND(J14/$AB$3*H14,0)</f>
        <v>7420</v>
      </c>
      <c r="P14" s="20">
        <f t="shared" ref="P14:P15" si="31">ROUND(K14/$AB$3*H14,0)</f>
        <v>0</v>
      </c>
      <c r="Q14" s="10"/>
      <c r="R14" s="12">
        <f t="shared" si="13"/>
        <v>21000</v>
      </c>
      <c r="S14" s="14">
        <f t="shared" si="18"/>
        <v>1630</v>
      </c>
      <c r="T14" s="30">
        <f t="shared" si="28"/>
        <v>158</v>
      </c>
      <c r="U14" s="45">
        <v>841</v>
      </c>
      <c r="V14" s="2"/>
      <c r="W14" s="12">
        <f t="shared" si="15"/>
        <v>2629</v>
      </c>
      <c r="X14" s="12">
        <f t="shared" si="16"/>
        <v>18371</v>
      </c>
      <c r="Y14" s="13">
        <v>4</v>
      </c>
      <c r="Z14" s="13">
        <v>1</v>
      </c>
      <c r="AA14" s="25"/>
    </row>
    <row r="15" spans="1:32" x14ac:dyDescent="0.3">
      <c r="A15" s="9">
        <f t="shared" si="17"/>
        <v>9</v>
      </c>
      <c r="B15" s="27">
        <v>102068090974</v>
      </c>
      <c r="C15" s="9">
        <v>6723282221</v>
      </c>
      <c r="D15" s="52" t="s">
        <v>56</v>
      </c>
      <c r="E15" s="9" t="s">
        <v>57</v>
      </c>
      <c r="F15" s="9" t="s">
        <v>58</v>
      </c>
      <c r="G15" s="31" t="s">
        <v>64</v>
      </c>
      <c r="H15" s="13">
        <v>30</v>
      </c>
      <c r="I15" s="5">
        <v>13580</v>
      </c>
      <c r="J15" s="5">
        <v>9600</v>
      </c>
      <c r="K15" s="5">
        <v>820</v>
      </c>
      <c r="L15" s="10">
        <f t="shared" si="8"/>
        <v>24000</v>
      </c>
      <c r="M15" s="11">
        <f t="shared" si="9"/>
        <v>24000</v>
      </c>
      <c r="N15" s="20">
        <f t="shared" si="29"/>
        <v>13580</v>
      </c>
      <c r="O15" s="20">
        <f t="shared" si="30"/>
        <v>9600</v>
      </c>
      <c r="P15" s="20">
        <f t="shared" si="31"/>
        <v>820</v>
      </c>
      <c r="Q15" s="10"/>
      <c r="R15" s="12">
        <f t="shared" si="13"/>
        <v>24000</v>
      </c>
      <c r="S15" s="14">
        <f t="shared" si="18"/>
        <v>1630</v>
      </c>
      <c r="T15" s="21">
        <v>0</v>
      </c>
      <c r="U15" s="44">
        <v>841</v>
      </c>
      <c r="V15" s="2"/>
      <c r="W15" s="12">
        <f t="shared" si="15"/>
        <v>2471</v>
      </c>
      <c r="X15" s="12">
        <f t="shared" si="16"/>
        <v>21529</v>
      </c>
      <c r="Y15" s="13">
        <v>3</v>
      </c>
      <c r="Z15" s="13">
        <v>1.5</v>
      </c>
    </row>
    <row r="16" spans="1:32" x14ac:dyDescent="0.3">
      <c r="A16" s="9">
        <f t="shared" si="17"/>
        <v>10</v>
      </c>
      <c r="B16" s="27">
        <v>102315024512</v>
      </c>
      <c r="C16" s="9">
        <v>2810821162</v>
      </c>
      <c r="D16" s="52" t="s">
        <v>66</v>
      </c>
      <c r="E16" s="9" t="s">
        <v>75</v>
      </c>
      <c r="F16" s="9" t="s">
        <v>35</v>
      </c>
      <c r="G16" s="31">
        <v>1688</v>
      </c>
      <c r="H16" s="13">
        <v>30</v>
      </c>
      <c r="I16" s="5">
        <v>13580</v>
      </c>
      <c r="J16" s="5">
        <v>4420</v>
      </c>
      <c r="K16" s="5">
        <v>0</v>
      </c>
      <c r="L16" s="10">
        <f t="shared" ref="L16" si="32">I16+J16+K16</f>
        <v>18000</v>
      </c>
      <c r="M16" s="11">
        <f t="shared" ref="M16" si="33">L16</f>
        <v>18000</v>
      </c>
      <c r="N16" s="20">
        <f t="shared" ref="N16" si="34">ROUND(I16/$AB$3*H16,0)</f>
        <v>13580</v>
      </c>
      <c r="O16" s="20">
        <f t="shared" ref="O16" si="35">ROUND(J16/$AB$3*H16,0)</f>
        <v>4420</v>
      </c>
      <c r="P16" s="20">
        <f t="shared" ref="P16" si="36">ROUND(K16/$AB$3*H16,0)</f>
        <v>0</v>
      </c>
      <c r="Q16" s="10"/>
      <c r="R16" s="12">
        <f t="shared" ref="R16" si="37">N16+O16+P16</f>
        <v>18000</v>
      </c>
      <c r="S16" s="14">
        <f t="shared" si="18"/>
        <v>1630</v>
      </c>
      <c r="T16" s="30">
        <f t="shared" ref="T16" si="38">ROUNDUP(R16*0.75%,0)</f>
        <v>135</v>
      </c>
      <c r="U16" s="44">
        <v>841</v>
      </c>
      <c r="V16" s="2"/>
      <c r="W16" s="12">
        <f t="shared" ref="W16" si="39">S16+T16+U16+V16</f>
        <v>2606</v>
      </c>
      <c r="X16" s="12">
        <f t="shared" ref="X16" si="40">R16-W16</f>
        <v>15394</v>
      </c>
      <c r="Y16" s="13">
        <v>0</v>
      </c>
      <c r="Z16" s="13">
        <v>0.5</v>
      </c>
      <c r="AA16" s="51" t="s">
        <v>96</v>
      </c>
      <c r="AB16" s="46" t="s">
        <v>97</v>
      </c>
      <c r="AC16" s="46" t="s">
        <v>98</v>
      </c>
      <c r="AD16" s="46" t="s">
        <v>99</v>
      </c>
      <c r="AE16" s="46" t="s">
        <v>100</v>
      </c>
      <c r="AF16" s="46" t="s">
        <v>101</v>
      </c>
    </row>
    <row r="17" spans="1:32" x14ac:dyDescent="0.3">
      <c r="A17" s="9">
        <f t="shared" si="17"/>
        <v>11</v>
      </c>
      <c r="B17" s="27">
        <v>101728163243</v>
      </c>
      <c r="C17" s="9">
        <v>2810821185</v>
      </c>
      <c r="D17" s="1" t="s">
        <v>70</v>
      </c>
      <c r="E17" s="9" t="s">
        <v>79</v>
      </c>
      <c r="F17" s="9" t="s">
        <v>87</v>
      </c>
      <c r="G17" s="31">
        <v>1692</v>
      </c>
      <c r="H17" s="13">
        <v>28.5</v>
      </c>
      <c r="I17" s="5">
        <v>13580</v>
      </c>
      <c r="J17" s="5">
        <v>1420</v>
      </c>
      <c r="K17" s="5">
        <v>0</v>
      </c>
      <c r="L17" s="10">
        <f t="shared" ref="L17" si="41">I17+J17+K17</f>
        <v>15000</v>
      </c>
      <c r="M17" s="11">
        <f t="shared" ref="M17" si="42">L17</f>
        <v>15000</v>
      </c>
      <c r="N17" s="20">
        <f t="shared" ref="N17" si="43">ROUND(I17/$AB$3*H17,0)</f>
        <v>12901</v>
      </c>
      <c r="O17" s="20">
        <f t="shared" ref="O17" si="44">ROUND(J17/$AB$3*H17,0)</f>
        <v>1349</v>
      </c>
      <c r="P17" s="20">
        <f t="shared" ref="P17" si="45">ROUND(K17/$AB$3*H17,0)</f>
        <v>0</v>
      </c>
      <c r="Q17" s="10"/>
      <c r="R17" s="12">
        <f t="shared" ref="R17" si="46">N17+O17+P17</f>
        <v>14250</v>
      </c>
      <c r="S17" s="14">
        <f t="shared" si="18"/>
        <v>1548</v>
      </c>
      <c r="T17" s="30">
        <f t="shared" ref="T17" si="47">ROUNDUP(R17*0.75%,0)</f>
        <v>107</v>
      </c>
      <c r="U17" s="44">
        <v>2806</v>
      </c>
      <c r="V17" s="2"/>
      <c r="W17" s="12">
        <f t="shared" ref="W17" si="48">S17+T17+U17+V17</f>
        <v>4461</v>
      </c>
      <c r="X17" s="12">
        <f t="shared" ref="X17" si="49">R17-W17</f>
        <v>9789</v>
      </c>
      <c r="Y17" s="13">
        <v>0</v>
      </c>
      <c r="Z17" s="13">
        <v>0</v>
      </c>
      <c r="AA17" s="46">
        <v>5859</v>
      </c>
      <c r="AB17" s="46">
        <v>3361</v>
      </c>
      <c r="AC17" s="46">
        <f>AA17+AB17</f>
        <v>9220</v>
      </c>
      <c r="AD17" s="46">
        <v>6414</v>
      </c>
      <c r="AE17" s="46">
        <f>AC17-AD17</f>
        <v>2806</v>
      </c>
      <c r="AF17" s="46">
        <v>0</v>
      </c>
    </row>
    <row r="18" spans="1:32" x14ac:dyDescent="0.3">
      <c r="A18" s="9">
        <f t="shared" si="17"/>
        <v>12</v>
      </c>
      <c r="B18" s="27">
        <v>102315021644</v>
      </c>
      <c r="C18" s="9">
        <v>2810821172</v>
      </c>
      <c r="D18" s="1" t="s">
        <v>67</v>
      </c>
      <c r="E18" s="9" t="s">
        <v>76</v>
      </c>
      <c r="F18" s="9" t="s">
        <v>84</v>
      </c>
      <c r="G18" s="31">
        <v>1693</v>
      </c>
      <c r="H18" s="13">
        <v>30</v>
      </c>
      <c r="I18" s="5">
        <v>13580</v>
      </c>
      <c r="J18" s="5">
        <v>1420</v>
      </c>
      <c r="K18" s="5">
        <v>0</v>
      </c>
      <c r="L18" s="10">
        <f t="shared" ref="L18:L23" si="50">I18+J18+K18</f>
        <v>15000</v>
      </c>
      <c r="M18" s="11">
        <f t="shared" ref="M18:M23" si="51">L18</f>
        <v>15000</v>
      </c>
      <c r="N18" s="20">
        <f t="shared" ref="N18:N23" si="52">ROUND(I18/$AB$3*H18,0)</f>
        <v>13580</v>
      </c>
      <c r="O18" s="20">
        <f t="shared" ref="O18:O23" si="53">ROUND(J18/$AB$3*H18,0)</f>
        <v>1420</v>
      </c>
      <c r="P18" s="20">
        <f t="shared" ref="P18:P23" si="54">ROUND(K18/$AB$3*H18,0)</f>
        <v>0</v>
      </c>
      <c r="Q18" s="10"/>
      <c r="R18" s="12">
        <f t="shared" ref="R18:R23" si="55">N18+O18+P18</f>
        <v>15000</v>
      </c>
      <c r="S18" s="14">
        <f t="shared" si="18"/>
        <v>1630</v>
      </c>
      <c r="T18" s="30">
        <f t="shared" ref="T18:T23" si="56">ROUNDUP(R18*0.75%,0)</f>
        <v>113</v>
      </c>
      <c r="U18" s="44">
        <v>841</v>
      </c>
      <c r="V18" s="2"/>
      <c r="W18" s="12">
        <f t="shared" ref="W18:W23" si="57">S18+T18+U18+V18</f>
        <v>2584</v>
      </c>
      <c r="X18" s="12">
        <f t="shared" ref="X18:X23" si="58">R18-W18</f>
        <v>12416</v>
      </c>
      <c r="Y18" s="13">
        <v>2</v>
      </c>
      <c r="Z18" s="13">
        <v>1</v>
      </c>
    </row>
    <row r="19" spans="1:32" x14ac:dyDescent="0.3">
      <c r="A19" s="9">
        <f t="shared" si="17"/>
        <v>13</v>
      </c>
      <c r="B19" s="27">
        <v>102268599310</v>
      </c>
      <c r="C19" s="9">
        <v>2810821175</v>
      </c>
      <c r="D19" s="1" t="s">
        <v>68</v>
      </c>
      <c r="E19" s="9" t="s">
        <v>77</v>
      </c>
      <c r="F19" s="9" t="s">
        <v>85</v>
      </c>
      <c r="G19" s="31">
        <v>1694</v>
      </c>
      <c r="H19" s="13">
        <v>30</v>
      </c>
      <c r="I19" s="5">
        <v>13580</v>
      </c>
      <c r="J19" s="5">
        <v>1420</v>
      </c>
      <c r="K19" s="5">
        <v>0</v>
      </c>
      <c r="L19" s="10">
        <f t="shared" si="50"/>
        <v>15000</v>
      </c>
      <c r="M19" s="11">
        <f t="shared" si="51"/>
        <v>15000</v>
      </c>
      <c r="N19" s="20">
        <f t="shared" si="52"/>
        <v>13580</v>
      </c>
      <c r="O19" s="20">
        <f t="shared" si="53"/>
        <v>1420</v>
      </c>
      <c r="P19" s="20">
        <f t="shared" si="54"/>
        <v>0</v>
      </c>
      <c r="Q19" s="10"/>
      <c r="R19" s="12">
        <f t="shared" si="55"/>
        <v>15000</v>
      </c>
      <c r="S19" s="14">
        <f t="shared" si="18"/>
        <v>1630</v>
      </c>
      <c r="T19" s="30">
        <f t="shared" si="56"/>
        <v>113</v>
      </c>
      <c r="U19" s="44">
        <v>841</v>
      </c>
      <c r="V19" s="2"/>
      <c r="W19" s="12">
        <f t="shared" si="57"/>
        <v>2584</v>
      </c>
      <c r="X19" s="12">
        <f t="shared" si="58"/>
        <v>12416</v>
      </c>
      <c r="Y19" s="13">
        <v>0</v>
      </c>
      <c r="Z19" s="13">
        <v>0</v>
      </c>
    </row>
    <row r="20" spans="1:32" x14ac:dyDescent="0.3">
      <c r="A20" s="9">
        <f t="shared" si="17"/>
        <v>14</v>
      </c>
      <c r="B20" s="27">
        <v>102315023821</v>
      </c>
      <c r="C20" s="9">
        <v>2810821189</v>
      </c>
      <c r="D20" s="1" t="s">
        <v>72</v>
      </c>
      <c r="E20" s="9" t="s">
        <v>81</v>
      </c>
      <c r="F20" s="9" t="s">
        <v>89</v>
      </c>
      <c r="G20" s="31">
        <v>1697</v>
      </c>
      <c r="H20" s="13">
        <v>30</v>
      </c>
      <c r="I20" s="5">
        <v>13580</v>
      </c>
      <c r="J20" s="5">
        <v>1420</v>
      </c>
      <c r="K20" s="5">
        <v>0</v>
      </c>
      <c r="L20" s="10">
        <f t="shared" ref="L20:L22" si="59">I20+J20+K20</f>
        <v>15000</v>
      </c>
      <c r="M20" s="11">
        <f t="shared" ref="M20:M22" si="60">L20</f>
        <v>15000</v>
      </c>
      <c r="N20" s="20">
        <f t="shared" ref="N20:N22" si="61">ROUND(I20/$AB$3*H20,0)</f>
        <v>13580</v>
      </c>
      <c r="O20" s="20">
        <f t="shared" ref="O20:O22" si="62">ROUND(J20/$AB$3*H20,0)</f>
        <v>1420</v>
      </c>
      <c r="P20" s="20">
        <f t="shared" ref="P20:P22" si="63">ROUND(K20/$AB$3*H20,0)</f>
        <v>0</v>
      </c>
      <c r="Q20" s="10"/>
      <c r="R20" s="12">
        <f t="shared" ref="R20:R22" si="64">N20+O20+P20</f>
        <v>15000</v>
      </c>
      <c r="S20" s="14">
        <f t="shared" si="18"/>
        <v>1630</v>
      </c>
      <c r="T20" s="30">
        <f t="shared" ref="T20:T22" si="65">ROUNDUP(R20*0.75%,0)</f>
        <v>113</v>
      </c>
      <c r="U20" s="44">
        <v>841</v>
      </c>
      <c r="V20" s="2"/>
      <c r="W20" s="12">
        <f t="shared" ref="W20:W22" si="66">S20+T20+U20+V20</f>
        <v>2584</v>
      </c>
      <c r="X20" s="12">
        <f t="shared" ref="X20:X22" si="67">R20-W20</f>
        <v>12416</v>
      </c>
      <c r="Y20" s="13">
        <v>2</v>
      </c>
      <c r="Z20" s="13">
        <v>1</v>
      </c>
    </row>
    <row r="21" spans="1:32" x14ac:dyDescent="0.3">
      <c r="A21" s="9">
        <f t="shared" si="17"/>
        <v>15</v>
      </c>
      <c r="B21" s="27">
        <v>102315284348</v>
      </c>
      <c r="C21" s="9">
        <v>2810821157</v>
      </c>
      <c r="D21" s="1" t="s">
        <v>65</v>
      </c>
      <c r="E21" s="9" t="s">
        <v>74</v>
      </c>
      <c r="F21" s="9" t="s">
        <v>83</v>
      </c>
      <c r="G21" s="31">
        <v>1696</v>
      </c>
      <c r="H21" s="13">
        <v>30</v>
      </c>
      <c r="I21" s="5">
        <v>13580</v>
      </c>
      <c r="J21" s="5">
        <v>4420</v>
      </c>
      <c r="K21" s="5">
        <v>0</v>
      </c>
      <c r="L21" s="10">
        <f t="shared" si="59"/>
        <v>18000</v>
      </c>
      <c r="M21" s="11">
        <f t="shared" si="60"/>
        <v>18000</v>
      </c>
      <c r="N21" s="20">
        <f t="shared" si="61"/>
        <v>13580</v>
      </c>
      <c r="O21" s="20">
        <f t="shared" si="62"/>
        <v>4420</v>
      </c>
      <c r="P21" s="20">
        <f t="shared" si="63"/>
        <v>0</v>
      </c>
      <c r="Q21" s="10"/>
      <c r="R21" s="12">
        <f t="shared" si="64"/>
        <v>18000</v>
      </c>
      <c r="S21" s="14">
        <f t="shared" si="18"/>
        <v>1630</v>
      </c>
      <c r="T21" s="30">
        <f t="shared" si="65"/>
        <v>135</v>
      </c>
      <c r="U21" s="44">
        <v>841</v>
      </c>
      <c r="V21" s="2"/>
      <c r="W21" s="12">
        <f t="shared" si="66"/>
        <v>2606</v>
      </c>
      <c r="X21" s="12">
        <f t="shared" si="67"/>
        <v>15394</v>
      </c>
      <c r="Y21" s="13">
        <v>2</v>
      </c>
      <c r="Z21" s="13">
        <v>1</v>
      </c>
    </row>
    <row r="22" spans="1:32" x14ac:dyDescent="0.3">
      <c r="A22" s="9">
        <f t="shared" si="17"/>
        <v>16</v>
      </c>
      <c r="B22" s="27">
        <v>102315021685</v>
      </c>
      <c r="C22" s="9">
        <v>2810821190</v>
      </c>
      <c r="D22" s="1" t="s">
        <v>73</v>
      </c>
      <c r="E22" s="9" t="s">
        <v>82</v>
      </c>
      <c r="F22" s="9" t="s">
        <v>90</v>
      </c>
      <c r="G22" s="31">
        <v>1698</v>
      </c>
      <c r="H22" s="13">
        <v>30</v>
      </c>
      <c r="I22" s="5">
        <v>13580</v>
      </c>
      <c r="J22" s="5">
        <v>1420</v>
      </c>
      <c r="K22" s="5">
        <v>0</v>
      </c>
      <c r="L22" s="10">
        <f t="shared" si="59"/>
        <v>15000</v>
      </c>
      <c r="M22" s="11">
        <f t="shared" si="60"/>
        <v>15000</v>
      </c>
      <c r="N22" s="20">
        <f t="shared" si="61"/>
        <v>13580</v>
      </c>
      <c r="O22" s="20">
        <f t="shared" si="62"/>
        <v>1420</v>
      </c>
      <c r="P22" s="20">
        <f t="shared" si="63"/>
        <v>0</v>
      </c>
      <c r="Q22" s="10"/>
      <c r="R22" s="12">
        <f t="shared" si="64"/>
        <v>15000</v>
      </c>
      <c r="S22" s="14">
        <f t="shared" si="18"/>
        <v>1630</v>
      </c>
      <c r="T22" s="30">
        <f t="shared" si="65"/>
        <v>113</v>
      </c>
      <c r="U22" s="44">
        <v>841</v>
      </c>
      <c r="V22" s="2"/>
      <c r="W22" s="12">
        <f t="shared" si="66"/>
        <v>2584</v>
      </c>
      <c r="X22" s="12">
        <f t="shared" si="67"/>
        <v>12416</v>
      </c>
      <c r="Y22" s="13">
        <v>1</v>
      </c>
      <c r="Z22" s="13">
        <v>0</v>
      </c>
    </row>
    <row r="23" spans="1:32" x14ac:dyDescent="0.3">
      <c r="A23" s="9">
        <f t="shared" si="17"/>
        <v>17</v>
      </c>
      <c r="B23" s="27">
        <v>102315021126</v>
      </c>
      <c r="C23" s="9">
        <v>2810821187</v>
      </c>
      <c r="D23" s="1" t="s">
        <v>71</v>
      </c>
      <c r="E23" s="9" t="s">
        <v>80</v>
      </c>
      <c r="F23" s="9" t="s">
        <v>88</v>
      </c>
      <c r="G23" s="31">
        <v>1699</v>
      </c>
      <c r="H23" s="13">
        <v>30</v>
      </c>
      <c r="I23" s="5">
        <v>13580</v>
      </c>
      <c r="J23" s="5">
        <v>4420</v>
      </c>
      <c r="K23" s="5">
        <v>0</v>
      </c>
      <c r="L23" s="10">
        <f t="shared" si="50"/>
        <v>18000</v>
      </c>
      <c r="M23" s="11">
        <f t="shared" si="51"/>
        <v>18000</v>
      </c>
      <c r="N23" s="20">
        <f t="shared" si="52"/>
        <v>13580</v>
      </c>
      <c r="O23" s="20">
        <f t="shared" si="53"/>
        <v>4420</v>
      </c>
      <c r="P23" s="20">
        <f t="shared" si="54"/>
        <v>0</v>
      </c>
      <c r="Q23" s="10"/>
      <c r="R23" s="12">
        <f t="shared" si="55"/>
        <v>18000</v>
      </c>
      <c r="S23" s="14">
        <f t="shared" si="18"/>
        <v>1630</v>
      </c>
      <c r="T23" s="30">
        <f t="shared" si="56"/>
        <v>135</v>
      </c>
      <c r="U23" s="44">
        <v>841</v>
      </c>
      <c r="V23" s="2"/>
      <c r="W23" s="12">
        <f t="shared" si="57"/>
        <v>2606</v>
      </c>
      <c r="X23" s="12">
        <f t="shared" si="58"/>
        <v>15394</v>
      </c>
      <c r="Y23" s="13">
        <v>0</v>
      </c>
      <c r="Z23" s="13">
        <v>0.5</v>
      </c>
    </row>
    <row r="24" spans="1:32" x14ac:dyDescent="0.3">
      <c r="A24" s="9">
        <f t="shared" si="17"/>
        <v>18</v>
      </c>
      <c r="B24" s="27">
        <v>102315023042</v>
      </c>
      <c r="C24" s="9">
        <v>2810821179</v>
      </c>
      <c r="D24" s="1" t="s">
        <v>69</v>
      </c>
      <c r="E24" s="9" t="s">
        <v>78</v>
      </c>
      <c r="F24" s="9" t="s">
        <v>86</v>
      </c>
      <c r="G24" s="31">
        <v>1700</v>
      </c>
      <c r="H24" s="13">
        <v>29</v>
      </c>
      <c r="I24" s="5">
        <v>13580</v>
      </c>
      <c r="J24" s="5">
        <v>1420</v>
      </c>
      <c r="K24" s="5">
        <v>0</v>
      </c>
      <c r="L24" s="10">
        <f t="shared" ref="L24" si="68">I24+J24+K24</f>
        <v>15000</v>
      </c>
      <c r="M24" s="11">
        <f t="shared" ref="M24" si="69">L24</f>
        <v>15000</v>
      </c>
      <c r="N24" s="20">
        <f t="shared" ref="N24" si="70">ROUND(I24/$AB$3*H24,0)</f>
        <v>13127</v>
      </c>
      <c r="O24" s="20">
        <f t="shared" ref="O24" si="71">ROUND(J24/$AB$3*H24,0)</f>
        <v>1373</v>
      </c>
      <c r="P24" s="20">
        <f t="shared" ref="P24" si="72">ROUND(K24/$AB$3*H24,0)</f>
        <v>0</v>
      </c>
      <c r="Q24" s="10"/>
      <c r="R24" s="12">
        <f t="shared" ref="R24" si="73">N24+O24+P24</f>
        <v>14500</v>
      </c>
      <c r="S24" s="14">
        <f t="shared" si="18"/>
        <v>1575</v>
      </c>
      <c r="T24" s="30">
        <f t="shared" ref="T24" si="74">ROUNDUP(R24*0.75%,0)</f>
        <v>109</v>
      </c>
      <c r="U24" s="44">
        <v>841</v>
      </c>
      <c r="V24" s="2"/>
      <c r="W24" s="12">
        <f t="shared" ref="W24" si="75">S24+T24+U24+V24</f>
        <v>2525</v>
      </c>
      <c r="X24" s="12">
        <f t="shared" ref="X24" si="76">R24-W24</f>
        <v>11975</v>
      </c>
      <c r="Y24" s="13">
        <v>2</v>
      </c>
      <c r="Z24" s="13">
        <v>1</v>
      </c>
    </row>
    <row r="25" spans="1:32" x14ac:dyDescent="0.3">
      <c r="A25" s="9">
        <f t="shared" si="17"/>
        <v>19</v>
      </c>
      <c r="B25" s="27">
        <v>102244738565</v>
      </c>
      <c r="C25" s="9">
        <v>6725003837</v>
      </c>
      <c r="D25" s="52" t="s">
        <v>93</v>
      </c>
      <c r="E25" s="9" t="s">
        <v>94</v>
      </c>
      <c r="F25" s="9" t="s">
        <v>95</v>
      </c>
      <c r="G25" s="47">
        <v>1090</v>
      </c>
      <c r="H25" s="13">
        <v>30</v>
      </c>
      <c r="I25" s="5">
        <v>13580</v>
      </c>
      <c r="J25" s="5">
        <v>6420</v>
      </c>
      <c r="K25" s="5">
        <v>0</v>
      </c>
      <c r="L25" s="10">
        <f t="shared" ref="L25" si="77">I25+J25+K25</f>
        <v>20000</v>
      </c>
      <c r="M25" s="11">
        <f t="shared" ref="M25" si="78">L25</f>
        <v>20000</v>
      </c>
      <c r="N25" s="20">
        <f t="shared" ref="N25" si="79">ROUND(I25/$AB$3*H25,0)</f>
        <v>13580</v>
      </c>
      <c r="O25" s="20">
        <f t="shared" ref="O25" si="80">ROUND(J25/$AB$3*H25,0)</f>
        <v>6420</v>
      </c>
      <c r="P25" s="20">
        <f t="shared" ref="P25" si="81">ROUND(K25/$AB$3*H25,0)</f>
        <v>0</v>
      </c>
      <c r="Q25" s="10"/>
      <c r="R25" s="12">
        <f t="shared" ref="R25" si="82">N25+O25+P25</f>
        <v>20000</v>
      </c>
      <c r="S25" s="14">
        <f t="shared" ref="S25" si="83">ROUND(IF(I25&gt;15000,(15000/$AB$3*H25)*12%,N25*12%),0)</f>
        <v>1630</v>
      </c>
      <c r="T25" s="30">
        <f t="shared" ref="T25" si="84">ROUNDUP(R25*0.75%,0)</f>
        <v>150</v>
      </c>
      <c r="U25" s="44">
        <v>0</v>
      </c>
      <c r="V25" s="2"/>
      <c r="W25" s="12">
        <f t="shared" ref="W25" si="85">S25+T25+U25+V25</f>
        <v>1780</v>
      </c>
      <c r="X25" s="12">
        <f t="shared" ref="X25" si="86">R25-W25</f>
        <v>18220</v>
      </c>
      <c r="Y25" s="13">
        <v>1</v>
      </c>
      <c r="Z25" s="13">
        <v>0</v>
      </c>
    </row>
    <row r="26" spans="1:32" ht="19.5" thickBot="1" x14ac:dyDescent="0.35">
      <c r="D26" s="16"/>
      <c r="E26" s="3"/>
      <c r="F26" s="3"/>
      <c r="G26" s="3"/>
      <c r="I26" s="3"/>
      <c r="J26" s="3"/>
      <c r="K26" s="3"/>
      <c r="L26" s="3"/>
      <c r="M26" s="3"/>
      <c r="N26" s="32">
        <f>SUM(N7:N25)</f>
        <v>301033</v>
      </c>
      <c r="O26" s="32">
        <f t="shared" ref="O26:X26" si="87">SUM(O7:O25)</f>
        <v>125597</v>
      </c>
      <c r="P26" s="32">
        <f t="shared" si="87"/>
        <v>16620</v>
      </c>
      <c r="Q26" s="32">
        <f t="shared" si="87"/>
        <v>0</v>
      </c>
      <c r="R26" s="32">
        <f t="shared" si="87"/>
        <v>443250</v>
      </c>
      <c r="S26" s="32">
        <f t="shared" si="87"/>
        <v>28449</v>
      </c>
      <c r="T26" s="32">
        <f t="shared" si="87"/>
        <v>1964</v>
      </c>
      <c r="U26" s="32">
        <f>SUM(U7:U25)</f>
        <v>16262</v>
      </c>
      <c r="V26" s="32">
        <f t="shared" si="87"/>
        <v>0</v>
      </c>
      <c r="W26" s="32">
        <f t="shared" si="87"/>
        <v>46675</v>
      </c>
      <c r="X26" s="32">
        <f t="shared" si="87"/>
        <v>396575</v>
      </c>
      <c r="Y26" s="15"/>
    </row>
    <row r="27" spans="1:32" ht="19.5" thickTop="1" x14ac:dyDescent="0.3">
      <c r="V27" s="17"/>
      <c r="W27" s="17"/>
      <c r="X27" s="17"/>
    </row>
    <row r="28" spans="1:32" x14ac:dyDescent="0.3">
      <c r="W28" s="17"/>
    </row>
    <row r="29" spans="1:32" x14ac:dyDescent="0.3">
      <c r="R29" s="17"/>
      <c r="V29" s="17"/>
      <c r="X29" s="17"/>
    </row>
  </sheetData>
  <mergeCells count="5">
    <mergeCell ref="A1:Z3"/>
    <mergeCell ref="S5:V5"/>
    <mergeCell ref="Y5:Y6"/>
    <mergeCell ref="Z5:Z6"/>
    <mergeCell ref="A4:Y4"/>
  </mergeCells>
  <pageMargins left="0.7" right="0.7" top="0.75" bottom="0.75" header="0.3" footer="0.3"/>
  <pageSetup orientation="portrait" r:id="rId1"/>
  <ignoredErrors>
    <ignoredError sqref="G10:G15 G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APR'26</vt:lpstr>
    </vt:vector>
  </TitlesOfParts>
  <Company>sify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game</dc:creator>
  <cp:lastModifiedBy>Vikas</cp:lastModifiedBy>
  <cp:lastPrinted>2026-04-03T12:17:45Z</cp:lastPrinted>
  <dcterms:created xsi:type="dcterms:W3CDTF">2014-01-12T12:15:53Z</dcterms:created>
  <dcterms:modified xsi:type="dcterms:W3CDTF">2026-05-12T12:22:13Z</dcterms:modified>
</cp:coreProperties>
</file>