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mit\Drive D\Sumit\Monthly Salary\4.Salary F.Y 26-27\Salary APRIL 2026\ORIGINATOR, JOBVRITTA, BVB\"/>
    </mc:Choice>
  </mc:AlternateContent>
  <bookViews>
    <workbookView xWindow="0" yWindow="0" windowWidth="23040" windowHeight="8620" tabRatio="583"/>
  </bookViews>
  <sheets>
    <sheet name="APR-26" sheetId="30" r:id="rId1"/>
  </sheets>
  <definedNames>
    <definedName name="_xlnm._FilterDatabase" localSheetId="0" hidden="1">'APR-26'!$A$7:$AD$7</definedName>
  </definedNames>
  <calcPr calcId="162913"/>
</workbook>
</file>

<file path=xl/calcChain.xml><?xml version="1.0" encoding="utf-8"?>
<calcChain xmlns="http://schemas.openxmlformats.org/spreadsheetml/2006/main">
  <c r="O9" i="30" l="1"/>
  <c r="W20" i="30" l="1"/>
  <c r="V20" i="30"/>
  <c r="T20" i="30"/>
  <c r="R20" i="30"/>
  <c r="X19" i="30"/>
  <c r="M19" i="30"/>
  <c r="N19" i="30" s="1"/>
  <c r="Q19" i="30"/>
  <c r="P19" i="30"/>
  <c r="O19" i="30"/>
  <c r="S19" i="30" l="1"/>
  <c r="Y19" i="30"/>
  <c r="M15" i="30"/>
  <c r="N15" i="30" s="1"/>
  <c r="O15" i="30"/>
  <c r="P15" i="30"/>
  <c r="Q15" i="30"/>
  <c r="S15" i="30" l="1"/>
  <c r="U15" i="30" s="1"/>
  <c r="M18" i="30"/>
  <c r="N18" i="30" s="1"/>
  <c r="O18" i="30"/>
  <c r="P18" i="30"/>
  <c r="Q18" i="30"/>
  <c r="X15" i="30" l="1"/>
  <c r="Y15" i="30" s="1"/>
  <c r="S18" i="30"/>
  <c r="U18" i="30" s="1"/>
  <c r="X18" i="30" s="1"/>
  <c r="Y18" i="30" s="1"/>
  <c r="U20" i="30" l="1"/>
  <c r="O10" i="30"/>
  <c r="P10" i="30"/>
  <c r="Q10" i="30"/>
  <c r="O12" i="30"/>
  <c r="P12" i="30"/>
  <c r="Q12" i="30"/>
  <c r="O11" i="30"/>
  <c r="P11" i="30"/>
  <c r="Q11" i="30"/>
  <c r="O14" i="30"/>
  <c r="P14" i="30"/>
  <c r="Q14" i="30"/>
  <c r="O13" i="30"/>
  <c r="P13" i="30"/>
  <c r="Q13" i="30"/>
  <c r="O16" i="30"/>
  <c r="P16" i="30"/>
  <c r="Q16" i="30"/>
  <c r="O17" i="30"/>
  <c r="P17" i="30"/>
  <c r="Q17" i="30"/>
  <c r="O8" i="30"/>
  <c r="P8" i="30"/>
  <c r="Q8" i="30"/>
  <c r="X17" i="30" l="1"/>
  <c r="M17" i="30"/>
  <c r="N17" i="30" s="1"/>
  <c r="X8" i="30"/>
  <c r="M8" i="30"/>
  <c r="N8" i="30" s="1"/>
  <c r="X11" i="30"/>
  <c r="X16" i="30"/>
  <c r="M11" i="30"/>
  <c r="N11" i="30" s="1"/>
  <c r="M14" i="30"/>
  <c r="N14" i="30" s="1"/>
  <c r="M13" i="30"/>
  <c r="N13" i="30" s="1"/>
  <c r="M16" i="30"/>
  <c r="N16" i="30" s="1"/>
  <c r="S17" i="30" l="1"/>
  <c r="Y17" i="30" s="1"/>
  <c r="S8" i="30"/>
  <c r="Y8" i="30" s="1"/>
  <c r="S14" i="30"/>
  <c r="S11" i="30"/>
  <c r="Y11" i="30" s="1"/>
  <c r="S16" i="30"/>
  <c r="Y16" i="30" s="1"/>
  <c r="S13" i="30"/>
  <c r="X13" i="30" l="1"/>
  <c r="Y13" i="30" s="1"/>
  <c r="X14" i="30" l="1"/>
  <c r="Y14" i="30" s="1"/>
  <c r="M12" i="30"/>
  <c r="N12" i="30" s="1"/>
  <c r="M10" i="30"/>
  <c r="N10" i="30" s="1"/>
  <c r="Q9" i="30"/>
  <c r="Q20" i="30" s="1"/>
  <c r="P9" i="30"/>
  <c r="P20" i="30" s="1"/>
  <c r="O20" i="30"/>
  <c r="M9" i="30"/>
  <c r="N9" i="30" s="1"/>
  <c r="X9" i="30" l="1"/>
  <c r="S9" i="30"/>
  <c r="S12" i="30"/>
  <c r="S10" i="30"/>
  <c r="S20" i="30" l="1"/>
  <c r="Y9" i="30"/>
  <c r="X10" i="30"/>
  <c r="Y10" i="30" s="1"/>
  <c r="X12" i="30"/>
  <c r="Y12" i="30" s="1"/>
  <c r="Y20" i="30" l="1"/>
  <c r="X20" i="30"/>
  <c r="A8" i="30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</calcChain>
</file>

<file path=xl/sharedStrings.xml><?xml version="1.0" encoding="utf-8"?>
<sst xmlns="http://schemas.openxmlformats.org/spreadsheetml/2006/main" count="104" uniqueCount="71">
  <si>
    <t xml:space="preserve">Sl. </t>
  </si>
  <si>
    <t>Emp. Name</t>
  </si>
  <si>
    <t>Emp.</t>
  </si>
  <si>
    <t>Total</t>
  </si>
  <si>
    <t>Basic</t>
  </si>
  <si>
    <t>H.R.A.</t>
  </si>
  <si>
    <t>Conv.</t>
  </si>
  <si>
    <t>DEDUCTIONS</t>
  </si>
  <si>
    <t>TOT.</t>
  </si>
  <si>
    <t xml:space="preserve">Net </t>
  </si>
  <si>
    <t>No.</t>
  </si>
  <si>
    <t>Code</t>
  </si>
  <si>
    <t>Days</t>
  </si>
  <si>
    <t>Salary</t>
  </si>
  <si>
    <t>Amt.</t>
  </si>
  <si>
    <t>P.F.</t>
  </si>
  <si>
    <t>E.S.I.</t>
  </si>
  <si>
    <t>ADV.</t>
  </si>
  <si>
    <t>T.D.S.</t>
  </si>
  <si>
    <t>Ded.</t>
  </si>
  <si>
    <t>Payable</t>
  </si>
  <si>
    <t>PAN</t>
  </si>
  <si>
    <t>DOB</t>
  </si>
  <si>
    <t>INCE.</t>
  </si>
  <si>
    <t>UAN</t>
  </si>
  <si>
    <t>IP NO.</t>
  </si>
  <si>
    <t>N/A</t>
  </si>
  <si>
    <t>SHAILESH KUMAR PANDEY</t>
  </si>
  <si>
    <t>GNFPP3778C</t>
  </si>
  <si>
    <t>15.08.1999</t>
  </si>
  <si>
    <t>INFOSERV SOFTWARE PVT LTD</t>
  </si>
  <si>
    <t>CAPPK8088R</t>
  </si>
  <si>
    <t>ETWPS3016R</t>
  </si>
  <si>
    <t>OIRPS9549R</t>
  </si>
  <si>
    <t>BVKPV6432K</t>
  </si>
  <si>
    <t>IBOPS9319P</t>
  </si>
  <si>
    <t>EPOPM2429N</t>
  </si>
  <si>
    <t>02.03.1993</t>
  </si>
  <si>
    <t>01.12.1992</t>
  </si>
  <si>
    <t>02.07.1999</t>
  </si>
  <si>
    <t>15.01.1998</t>
  </si>
  <si>
    <t>25.08.1992</t>
  </si>
  <si>
    <t>05.07.1999</t>
  </si>
  <si>
    <t>MSXPS3342C</t>
  </si>
  <si>
    <t>17.07.2001</t>
  </si>
  <si>
    <t>ANKIT SINGH</t>
  </si>
  <si>
    <t>SHIVANSH SINGH</t>
  </si>
  <si>
    <t>MOHIT VISHWAKARMA</t>
  </si>
  <si>
    <t>ABHISHEK SINGH</t>
  </si>
  <si>
    <t>SHIVAM SINGH</t>
  </si>
  <si>
    <t>AMAN GUPTA</t>
  </si>
  <si>
    <t>AMAN MAURYA</t>
  </si>
  <si>
    <t>GAURAWA KUMAR SINGH</t>
  </si>
  <si>
    <t>NAVEEN KUMAR</t>
  </si>
  <si>
    <t>DHSPG2376D</t>
  </si>
  <si>
    <t>KWAPS2265F</t>
  </si>
  <si>
    <t>11.05.1993</t>
  </si>
  <si>
    <t>12.08.2002</t>
  </si>
  <si>
    <t>VINAYAK KUMAR SINGH</t>
  </si>
  <si>
    <t>TPHPS6753H</t>
  </si>
  <si>
    <t>18.01.2007</t>
  </si>
  <si>
    <t>SALARY FOR THE MONTH OF APRIL 2026</t>
  </si>
  <si>
    <t>RAHUL YADAV</t>
  </si>
  <si>
    <t>ARQPY9567M</t>
  </si>
  <si>
    <t>NA</t>
  </si>
  <si>
    <t>02.07.1994</t>
  </si>
  <si>
    <t>Reserve Leave after Apr'26</t>
  </si>
  <si>
    <t>Casual Leave after Apr'26</t>
  </si>
  <si>
    <t>Reserve Leave after Mar'26</t>
  </si>
  <si>
    <t>Casual Leave after Mar'26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</si>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</sst>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6"/>
      <name val="Arial"/>
      <family val="2"/>
    </font>
    <font>
      <b/>
      <sz val="20"/>
      <name val="Arial"/>
      <family val="2"/>
    </font>
    <font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67">
    <xf numFmtId="0" fontId="0" fillId="0" borderId="0" xfId="0"/>
    <xf numFmtId="0" fontId="7" fillId="0" borderId="1" xfId="0" applyFont="1" applyFill="1" applyBorder="1"/>
    <xf numFmtId="0" fontId="2" fillId="0" borderId="0" xfId="0" applyFont="1" applyFill="1"/>
    <xf numFmtId="0" fontId="4" fillId="0" borderId="0" xfId="0" applyFont="1" applyFill="1"/>
    <xf numFmtId="0" fontId="2" fillId="0" borderId="1" xfId="0" applyFont="1" applyFill="1" applyBorder="1"/>
    <xf numFmtId="0" fontId="7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shrinkToFit="1"/>
    </xf>
    <xf numFmtId="0" fontId="7" fillId="0" borderId="0" xfId="0" applyFont="1" applyFill="1" applyAlignment="1">
      <alignment horizontal="left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/>
    </xf>
    <xf numFmtId="1" fontId="7" fillId="0" borderId="1" xfId="0" applyNumberFormat="1" applyFont="1" applyFill="1" applyBorder="1" applyAlignment="1">
      <alignment horizontal="center" vertical="center"/>
    </xf>
    <xf numFmtId="164" fontId="7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right" vertical="center"/>
    </xf>
    <xf numFmtId="0" fontId="7" fillId="0" borderId="6" xfId="0" applyFont="1" applyFill="1" applyBorder="1"/>
    <xf numFmtId="0" fontId="2" fillId="0" borderId="0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left"/>
    </xf>
    <xf numFmtId="49" fontId="2" fillId="0" borderId="0" xfId="0" applyNumberFormat="1" applyFont="1" applyFill="1" applyAlignment="1">
      <alignment horizontal="center"/>
    </xf>
    <xf numFmtId="1" fontId="4" fillId="0" borderId="0" xfId="0" applyNumberFormat="1" applyFont="1" applyFill="1"/>
    <xf numFmtId="49" fontId="4" fillId="0" borderId="0" xfId="0" applyNumberFormat="1" applyFont="1" applyFill="1" applyAlignment="1">
      <alignment horizontal="center"/>
    </xf>
    <xf numFmtId="1" fontId="2" fillId="0" borderId="1" xfId="0" applyNumberFormat="1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vertical="center"/>
    </xf>
    <xf numFmtId="1" fontId="7" fillId="2" borderId="6" xfId="0" applyNumberFormat="1" applyFont="1" applyFill="1" applyBorder="1" applyAlignment="1">
      <alignment vertical="center"/>
    </xf>
    <xf numFmtId="0" fontId="4" fillId="0" borderId="0" xfId="0" applyFont="1" applyFill="1" applyAlignment="1">
      <alignment horizontal="center"/>
    </xf>
    <xf numFmtId="49" fontId="7" fillId="0" borderId="1" xfId="0" applyNumberFormat="1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1" fontId="7" fillId="0" borderId="1" xfId="0" applyNumberFormat="1" applyFont="1" applyFill="1" applyBorder="1" applyAlignment="1">
      <alignment horizontal="center"/>
    </xf>
    <xf numFmtId="14" fontId="7" fillId="0" borderId="1" xfId="0" applyNumberFormat="1" applyFont="1" applyFill="1" applyBorder="1" applyAlignment="1">
      <alignment horizontal="center" vertical="center"/>
    </xf>
    <xf numFmtId="0" fontId="10" fillId="0" borderId="4" xfId="0" applyFont="1" applyFill="1" applyBorder="1" applyAlignment="1"/>
    <xf numFmtId="0" fontId="10" fillId="0" borderId="5" xfId="0" applyFont="1" applyFill="1" applyBorder="1" applyAlignment="1"/>
    <xf numFmtId="0" fontId="7" fillId="0" borderId="6" xfId="0" applyFont="1" applyFill="1" applyBorder="1" applyAlignment="1">
      <alignment horizontal="center" vertical="center"/>
    </xf>
    <xf numFmtId="1" fontId="7" fillId="0" borderId="6" xfId="0" applyNumberFormat="1" applyFont="1" applyFill="1" applyBorder="1" applyAlignment="1">
      <alignment horizontal="center"/>
    </xf>
    <xf numFmtId="0" fontId="2" fillId="0" borderId="6" xfId="0" applyFont="1" applyFill="1" applyBorder="1"/>
    <xf numFmtId="0" fontId="7" fillId="0" borderId="6" xfId="0" applyFont="1" applyFill="1" applyBorder="1" applyAlignment="1">
      <alignment horizontal="left"/>
    </xf>
    <xf numFmtId="1" fontId="2" fillId="0" borderId="6" xfId="0" applyNumberFormat="1" applyFont="1" applyFill="1" applyBorder="1" applyAlignment="1">
      <alignment horizontal="center" vertical="center"/>
    </xf>
    <xf numFmtId="1" fontId="7" fillId="0" borderId="6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right" vertical="center"/>
    </xf>
    <xf numFmtId="0" fontId="12" fillId="0" borderId="6" xfId="0" applyFont="1" applyBorder="1" applyAlignment="1">
      <alignment horizontal="center"/>
    </xf>
    <xf numFmtId="1" fontId="2" fillId="0" borderId="1" xfId="0" applyNumberFormat="1" applyFont="1" applyFill="1" applyBorder="1" applyAlignment="1">
      <alignment vertical="center"/>
    </xf>
    <xf numFmtId="1" fontId="7" fillId="0" borderId="2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7" fillId="0" borderId="3" xfId="0" applyFont="1" applyFill="1" applyBorder="1" applyAlignment="1">
      <alignment horizontal="center" vertical="center"/>
    </xf>
    <xf numFmtId="14" fontId="7" fillId="0" borderId="3" xfId="0" applyNumberFormat="1" applyFont="1" applyFill="1" applyBorder="1" applyAlignment="1">
      <alignment horizontal="center" vertical="center"/>
    </xf>
    <xf numFmtId="164" fontId="7" fillId="0" borderId="5" xfId="0" applyNumberFormat="1" applyFont="1" applyFill="1" applyBorder="1" applyAlignment="1">
      <alignment horizontal="center"/>
    </xf>
    <xf numFmtId="164" fontId="7" fillId="0" borderId="9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  <xf numFmtId="0" fontId="13" fillId="0" borderId="0" xfId="0" applyFont="1" applyAlignment="1">
      <alignment horizontal="left"/>
    </xf>
    <xf numFmtId="0" fontId="0" fillId="0" borderId="0" xfId="0" applyBorder="1"/>
    <xf numFmtId="0" fontId="7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/>
    </xf>
    <xf numFmtId="0" fontId="7" fillId="0" borderId="8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49" fontId="14" fillId="0" borderId="6" xfId="0" applyNumberFormat="1" applyFont="1" applyFill="1" applyBorder="1" applyAlignment="1">
      <alignment horizontal="center" vertical="center" wrapText="1"/>
    </xf>
    <xf numFmtId="49" fontId="14" fillId="0" borderId="2" xfId="0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10" fillId="0" borderId="3" xfId="0" applyFont="1" applyFill="1" applyBorder="1" applyAlignment="1">
      <alignment horizontal="center"/>
    </xf>
    <xf numFmtId="0" fontId="10" fillId="0" borderId="4" xfId="0" applyFont="1" applyFill="1" applyBorder="1" applyAlignment="1">
      <alignment horizontal="center"/>
    </xf>
  </cellXfs>
  <cellStyles count="4">
    <cellStyle name="Normal" xfId="0" builtinId="0"/>
    <cellStyle name="Normal 2" xfId="1"/>
    <cellStyle name="Normal 2 2" xfId="2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6"/>
  <sheetViews>
    <sheetView tabSelected="1" zoomScale="70" zoomScaleNormal="70" workbookViewId="0">
      <pane ySplit="6" topLeftCell="A7" activePane="bottomLeft" state="frozen"/>
      <selection pane="bottomLeft" activeCell="V15" sqref="V15"/>
    </sheetView>
  </sheetViews>
  <sheetFormatPr defaultColWidth="9.36328125" defaultRowHeight="18.5" x14ac:dyDescent="0.45"/>
  <cols>
    <col min="1" max="1" width="6.6328125" style="3" customWidth="1"/>
    <col min="2" max="2" width="5.6328125" style="3" bestFit="1" customWidth="1"/>
    <col min="3" max="3" width="13.54296875" style="3" bestFit="1" customWidth="1"/>
    <col min="4" max="4" width="26.36328125" style="3" bestFit="1" customWidth="1"/>
    <col min="5" max="5" width="14.36328125" style="3" customWidth="1"/>
    <col min="6" max="6" width="13.6328125" style="3" customWidth="1"/>
    <col min="7" max="7" width="6.36328125" style="3" bestFit="1" customWidth="1"/>
    <col min="8" max="8" width="8.26953125" style="3" bestFit="1" customWidth="1"/>
    <col min="9" max="9" width="6.6328125" style="22" customWidth="1"/>
    <col min="10" max="11" width="7.453125" style="3" customWidth="1"/>
    <col min="12" max="12" width="7.6328125" style="3" customWidth="1"/>
    <col min="13" max="13" width="8.6328125" style="3" customWidth="1"/>
    <col min="14" max="14" width="10" style="3" customWidth="1"/>
    <col min="15" max="16" width="8.6328125" style="3" customWidth="1"/>
    <col min="17" max="17" width="7.6328125" style="3" customWidth="1"/>
    <col min="18" max="18" width="7.453125" style="3" customWidth="1"/>
    <col min="19" max="19" width="8.6328125" style="3" customWidth="1"/>
    <col min="20" max="20" width="4.6328125" style="3" customWidth="1"/>
    <col min="21" max="21" width="5.6328125" style="3" customWidth="1"/>
    <col min="22" max="22" width="6.36328125" style="3" customWidth="1"/>
    <col min="23" max="24" width="7" style="3" customWidth="1"/>
    <col min="25" max="25" width="8.6328125" style="3" customWidth="1"/>
    <col min="26" max="26" width="10.81640625" style="18" customWidth="1"/>
    <col min="27" max="27" width="9.90625" style="22" customWidth="1"/>
    <col min="28" max="28" width="6.36328125" style="26" bestFit="1" customWidth="1"/>
    <col min="29" max="29" width="11.08984375" customWidth="1"/>
    <col min="30" max="30" width="12.453125" customWidth="1"/>
  </cols>
  <sheetData>
    <row r="1" spans="1:30" s="3" customFormat="1" ht="20.25" customHeight="1" x14ac:dyDescent="0.45">
      <c r="A1" s="60" t="s">
        <v>30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50"/>
    </row>
    <row r="2" spans="1:30" s="3" customFormat="1" ht="18.75" customHeight="1" x14ac:dyDescent="0.45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51" t="s">
        <v>12</v>
      </c>
    </row>
    <row r="3" spans="1:30" s="3" customFormat="1" x14ac:dyDescent="0.45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51">
        <v>30</v>
      </c>
    </row>
    <row r="4" spans="1:30" s="3" customFormat="1" ht="21" customHeight="1" x14ac:dyDescent="0.45">
      <c r="A4" s="65" t="s">
        <v>61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29"/>
      <c r="AA4" s="30"/>
      <c r="AB4" s="50"/>
    </row>
    <row r="5" spans="1:30" s="3" customFormat="1" ht="18.75" customHeight="1" x14ac:dyDescent="0.45">
      <c r="A5" s="5" t="s">
        <v>0</v>
      </c>
      <c r="B5" s="5" t="s">
        <v>24</v>
      </c>
      <c r="C5" s="5" t="s">
        <v>25</v>
      </c>
      <c r="D5" s="5" t="s">
        <v>1</v>
      </c>
      <c r="E5" s="5" t="s">
        <v>21</v>
      </c>
      <c r="F5" s="5" t="s">
        <v>22</v>
      </c>
      <c r="G5" s="5" t="s">
        <v>2</v>
      </c>
      <c r="H5" s="5" t="s">
        <v>70</v>
      </c>
      <c r="I5" s="5" t="s">
        <v>13</v>
      </c>
      <c r="J5" s="5" t="s">
        <v>4</v>
      </c>
      <c r="K5" s="5" t="s">
        <v>5</v>
      </c>
      <c r="L5" s="6" t="s">
        <v>6</v>
      </c>
      <c r="M5" s="6"/>
      <c r="N5" s="5" t="s">
        <v>3</v>
      </c>
      <c r="O5" s="5" t="s">
        <v>4</v>
      </c>
      <c r="P5" s="5" t="s">
        <v>5</v>
      </c>
      <c r="Q5" s="6" t="s">
        <v>6</v>
      </c>
      <c r="R5" s="6" t="s">
        <v>23</v>
      </c>
      <c r="S5" s="5" t="s">
        <v>3</v>
      </c>
      <c r="T5" s="62" t="s">
        <v>7</v>
      </c>
      <c r="U5" s="63"/>
      <c r="V5" s="63"/>
      <c r="W5" s="64"/>
      <c r="X5" s="5" t="s">
        <v>8</v>
      </c>
      <c r="Y5" s="5" t="s">
        <v>9</v>
      </c>
      <c r="Z5" s="58" t="s">
        <v>66</v>
      </c>
      <c r="AA5" s="58" t="s">
        <v>67</v>
      </c>
      <c r="AB5" s="50"/>
      <c r="AC5" s="58" t="s">
        <v>68</v>
      </c>
      <c r="AD5" s="58" t="s">
        <v>69</v>
      </c>
    </row>
    <row r="6" spans="1:30" s="3" customFormat="1" x14ac:dyDescent="0.45">
      <c r="A6" s="5" t="s">
        <v>10</v>
      </c>
      <c r="B6" s="5"/>
      <c r="C6" s="5"/>
      <c r="D6" s="5"/>
      <c r="E6" s="5"/>
      <c r="F6" s="5"/>
      <c r="G6" s="5" t="s">
        <v>11</v>
      </c>
      <c r="H6" s="5" t="s">
        <v>12</v>
      </c>
      <c r="I6" s="5" t="s">
        <v>12</v>
      </c>
      <c r="J6" s="5" t="s">
        <v>13</v>
      </c>
      <c r="K6" s="5" t="s">
        <v>14</v>
      </c>
      <c r="L6" s="5" t="s">
        <v>14</v>
      </c>
      <c r="M6" s="5"/>
      <c r="N6" s="5" t="s">
        <v>14</v>
      </c>
      <c r="O6" s="5" t="s">
        <v>13</v>
      </c>
      <c r="P6" s="5" t="s">
        <v>14</v>
      </c>
      <c r="Q6" s="5" t="s">
        <v>14</v>
      </c>
      <c r="R6" s="7"/>
      <c r="S6" s="5" t="s">
        <v>14</v>
      </c>
      <c r="T6" s="5" t="s">
        <v>15</v>
      </c>
      <c r="U6" s="5" t="s">
        <v>16</v>
      </c>
      <c r="V6" s="5" t="s">
        <v>17</v>
      </c>
      <c r="W6" s="5" t="s">
        <v>18</v>
      </c>
      <c r="X6" s="5" t="s">
        <v>19</v>
      </c>
      <c r="Y6" s="5" t="s">
        <v>20</v>
      </c>
      <c r="Z6" s="59"/>
      <c r="AA6" s="59"/>
      <c r="AB6" s="50"/>
      <c r="AC6" s="59"/>
      <c r="AD6" s="59"/>
    </row>
    <row r="7" spans="1:30" s="3" customFormat="1" x14ac:dyDescent="0.45">
      <c r="A7" s="5"/>
      <c r="B7" s="5"/>
      <c r="C7" s="5"/>
      <c r="D7" s="1"/>
      <c r="E7" s="1"/>
      <c r="F7" s="1"/>
      <c r="G7" s="1"/>
      <c r="H7" s="1"/>
      <c r="I7" s="5"/>
      <c r="J7" s="1"/>
      <c r="K7" s="1"/>
      <c r="L7" s="1"/>
      <c r="M7" s="1"/>
      <c r="N7" s="1"/>
      <c r="O7" s="1"/>
      <c r="P7" s="1"/>
      <c r="Q7" s="1"/>
      <c r="R7" s="7"/>
      <c r="S7" s="1"/>
      <c r="T7" s="1"/>
      <c r="U7" s="1"/>
      <c r="V7" s="1"/>
      <c r="W7" s="1"/>
      <c r="X7" s="1"/>
      <c r="Y7" s="1"/>
      <c r="Z7" s="23"/>
      <c r="AA7" s="23"/>
      <c r="AB7" s="50"/>
    </row>
    <row r="8" spans="1:30" ht="15.5" x14ac:dyDescent="0.35">
      <c r="A8" s="8">
        <f>A7+1</f>
        <v>1</v>
      </c>
      <c r="B8" s="27" t="s">
        <v>26</v>
      </c>
      <c r="C8" s="8" t="s">
        <v>26</v>
      </c>
      <c r="D8" s="42" t="s">
        <v>27</v>
      </c>
      <c r="E8" s="8" t="s">
        <v>28</v>
      </c>
      <c r="F8" s="28" t="s">
        <v>29</v>
      </c>
      <c r="G8" s="54">
        <v>512</v>
      </c>
      <c r="H8" s="57">
        <v>24</v>
      </c>
      <c r="I8" s="11">
        <v>26</v>
      </c>
      <c r="J8" s="4">
        <v>17500</v>
      </c>
      <c r="K8" s="4">
        <v>14000</v>
      </c>
      <c r="L8" s="4">
        <v>3500</v>
      </c>
      <c r="M8" s="9">
        <f t="shared" ref="M8:M19" si="0">J8+K8+L8</f>
        <v>35000</v>
      </c>
      <c r="N8" s="9">
        <f t="shared" ref="N8:N19" si="1">M8</f>
        <v>35000</v>
      </c>
      <c r="O8" s="19">
        <f t="shared" ref="O8:O19" si="2">ROUND(J8/$AB$3*I8,0)</f>
        <v>15167</v>
      </c>
      <c r="P8" s="19">
        <f t="shared" ref="P8:P19" si="3">ROUND(K8/$AB$3*I8,0)</f>
        <v>12133</v>
      </c>
      <c r="Q8" s="19">
        <f t="shared" ref="Q8:Q19" si="4">ROUND(L8/$AB$3*I8,0)</f>
        <v>3033</v>
      </c>
      <c r="R8" s="9"/>
      <c r="S8" s="10">
        <f t="shared" ref="S8:S19" si="5">O8+P8+Q8</f>
        <v>30333</v>
      </c>
      <c r="T8" s="12">
        <v>0</v>
      </c>
      <c r="U8" s="21">
        <v>0</v>
      </c>
      <c r="V8" s="24"/>
      <c r="W8" s="13"/>
      <c r="X8" s="10">
        <f t="shared" ref="X8:X19" si="6">T8+U8+V8+W8</f>
        <v>0</v>
      </c>
      <c r="Y8" s="10">
        <f t="shared" ref="Y8:Y19" si="7">S8-X8</f>
        <v>30333</v>
      </c>
      <c r="Z8" s="11">
        <v>0</v>
      </c>
      <c r="AA8" s="11">
        <v>0</v>
      </c>
      <c r="AC8" s="11">
        <v>0</v>
      </c>
      <c r="AD8" s="11">
        <v>0.5</v>
      </c>
    </row>
    <row r="9" spans="1:30" ht="15.5" x14ac:dyDescent="0.35">
      <c r="A9" s="8">
        <f>A8+1</f>
        <v>2</v>
      </c>
      <c r="B9" s="27" t="s">
        <v>26</v>
      </c>
      <c r="C9" s="8" t="s">
        <v>26</v>
      </c>
      <c r="D9" s="42" t="s">
        <v>52</v>
      </c>
      <c r="E9" s="8" t="s">
        <v>55</v>
      </c>
      <c r="F9" s="8" t="s">
        <v>56</v>
      </c>
      <c r="G9" s="54">
        <v>993</v>
      </c>
      <c r="H9" s="57">
        <v>29</v>
      </c>
      <c r="I9" s="11">
        <v>30</v>
      </c>
      <c r="J9" s="4">
        <v>60900</v>
      </c>
      <c r="K9" s="4">
        <v>48720</v>
      </c>
      <c r="L9" s="4">
        <v>12180</v>
      </c>
      <c r="M9" s="9">
        <f t="shared" si="0"/>
        <v>121800</v>
      </c>
      <c r="N9" s="9">
        <f t="shared" si="1"/>
        <v>121800</v>
      </c>
      <c r="O9" s="19">
        <f t="shared" si="2"/>
        <v>60900</v>
      </c>
      <c r="P9" s="19">
        <f t="shared" si="3"/>
        <v>48720</v>
      </c>
      <c r="Q9" s="19">
        <f t="shared" si="4"/>
        <v>12180</v>
      </c>
      <c r="R9" s="9"/>
      <c r="S9" s="10">
        <f t="shared" si="5"/>
        <v>121800</v>
      </c>
      <c r="T9" s="12">
        <v>0</v>
      </c>
      <c r="U9" s="21">
        <v>0</v>
      </c>
      <c r="V9" s="25"/>
      <c r="W9" s="13">
        <v>10000</v>
      </c>
      <c r="X9" s="10">
        <f t="shared" si="6"/>
        <v>10000</v>
      </c>
      <c r="Y9" s="10">
        <f t="shared" si="7"/>
        <v>111800</v>
      </c>
      <c r="Z9" s="11">
        <v>0</v>
      </c>
      <c r="AA9" s="11">
        <v>0.5</v>
      </c>
      <c r="AC9" s="11">
        <v>0</v>
      </c>
      <c r="AD9" s="11">
        <v>0</v>
      </c>
    </row>
    <row r="10" spans="1:30" ht="15.5" x14ac:dyDescent="0.35">
      <c r="A10" s="8">
        <f t="shared" ref="A10:A19" si="8">A9+1</f>
        <v>3</v>
      </c>
      <c r="B10" s="27" t="s">
        <v>26</v>
      </c>
      <c r="C10" s="8" t="s">
        <v>26</v>
      </c>
      <c r="D10" s="42" t="s">
        <v>53</v>
      </c>
      <c r="E10" s="8" t="s">
        <v>31</v>
      </c>
      <c r="F10" s="28" t="s">
        <v>37</v>
      </c>
      <c r="G10" s="54">
        <v>994</v>
      </c>
      <c r="H10" s="57">
        <v>29</v>
      </c>
      <c r="I10" s="11">
        <v>30</v>
      </c>
      <c r="J10" s="4">
        <v>26800</v>
      </c>
      <c r="K10" s="4">
        <v>21440</v>
      </c>
      <c r="L10" s="4">
        <v>5360</v>
      </c>
      <c r="M10" s="9">
        <f t="shared" si="0"/>
        <v>53600</v>
      </c>
      <c r="N10" s="9">
        <f t="shared" si="1"/>
        <v>53600</v>
      </c>
      <c r="O10" s="19">
        <f t="shared" si="2"/>
        <v>26800</v>
      </c>
      <c r="P10" s="19">
        <f t="shared" si="3"/>
        <v>21440</v>
      </c>
      <c r="Q10" s="19">
        <f t="shared" si="4"/>
        <v>5360</v>
      </c>
      <c r="R10" s="9"/>
      <c r="S10" s="10">
        <f t="shared" si="5"/>
        <v>53600</v>
      </c>
      <c r="T10" s="12">
        <v>0</v>
      </c>
      <c r="U10" s="20">
        <v>0</v>
      </c>
      <c r="V10" s="24"/>
      <c r="W10" s="13"/>
      <c r="X10" s="10">
        <f t="shared" si="6"/>
        <v>0</v>
      </c>
      <c r="Y10" s="10">
        <f t="shared" si="7"/>
        <v>53600</v>
      </c>
      <c r="Z10" s="11">
        <v>4</v>
      </c>
      <c r="AA10" s="11">
        <v>0.5</v>
      </c>
      <c r="AC10" s="11">
        <v>4</v>
      </c>
      <c r="AD10" s="11">
        <v>0</v>
      </c>
    </row>
    <row r="11" spans="1:30" ht="15.5" x14ac:dyDescent="0.35">
      <c r="A11" s="8">
        <f t="shared" si="8"/>
        <v>4</v>
      </c>
      <c r="B11" s="27" t="s">
        <v>26</v>
      </c>
      <c r="C11" s="8" t="s">
        <v>26</v>
      </c>
      <c r="D11" s="42" t="s">
        <v>46</v>
      </c>
      <c r="E11" s="8" t="s">
        <v>33</v>
      </c>
      <c r="F11" s="28" t="s">
        <v>39</v>
      </c>
      <c r="G11" s="54">
        <v>995</v>
      </c>
      <c r="H11" s="57">
        <v>27</v>
      </c>
      <c r="I11" s="11">
        <v>29.5</v>
      </c>
      <c r="J11" s="4">
        <v>20670</v>
      </c>
      <c r="K11" s="4">
        <v>16536</v>
      </c>
      <c r="L11" s="4">
        <v>4134</v>
      </c>
      <c r="M11" s="9">
        <f t="shared" si="0"/>
        <v>41340</v>
      </c>
      <c r="N11" s="9">
        <f t="shared" si="1"/>
        <v>41340</v>
      </c>
      <c r="O11" s="19">
        <f t="shared" si="2"/>
        <v>20326</v>
      </c>
      <c r="P11" s="19">
        <f t="shared" si="3"/>
        <v>16260</v>
      </c>
      <c r="Q11" s="19">
        <f t="shared" si="4"/>
        <v>4065</v>
      </c>
      <c r="R11" s="9"/>
      <c r="S11" s="10">
        <f t="shared" si="5"/>
        <v>40651</v>
      </c>
      <c r="T11" s="12">
        <v>0</v>
      </c>
      <c r="U11" s="20">
        <v>0</v>
      </c>
      <c r="V11" s="24"/>
      <c r="W11" s="13"/>
      <c r="X11" s="10">
        <f t="shared" si="6"/>
        <v>0</v>
      </c>
      <c r="Y11" s="10">
        <f t="shared" si="7"/>
        <v>40651</v>
      </c>
      <c r="Z11" s="11">
        <v>0</v>
      </c>
      <c r="AA11" s="11">
        <v>0</v>
      </c>
      <c r="AC11" s="11">
        <v>1</v>
      </c>
      <c r="AD11" s="11">
        <v>0</v>
      </c>
    </row>
    <row r="12" spans="1:30" ht="15.5" x14ac:dyDescent="0.35">
      <c r="A12" s="8">
        <f t="shared" si="8"/>
        <v>5</v>
      </c>
      <c r="B12" s="27" t="s">
        <v>26</v>
      </c>
      <c r="C12" s="8" t="s">
        <v>26</v>
      </c>
      <c r="D12" s="42" t="s">
        <v>45</v>
      </c>
      <c r="E12" s="8" t="s">
        <v>32</v>
      </c>
      <c r="F12" s="28" t="s">
        <v>38</v>
      </c>
      <c r="G12" s="54">
        <v>996</v>
      </c>
      <c r="H12" s="57">
        <v>29</v>
      </c>
      <c r="I12" s="11">
        <v>30</v>
      </c>
      <c r="J12" s="4">
        <v>19830</v>
      </c>
      <c r="K12" s="4">
        <v>15864</v>
      </c>
      <c r="L12" s="4">
        <v>3966</v>
      </c>
      <c r="M12" s="9">
        <f t="shared" si="0"/>
        <v>39660</v>
      </c>
      <c r="N12" s="9">
        <f t="shared" si="1"/>
        <v>39660</v>
      </c>
      <c r="O12" s="19">
        <f t="shared" si="2"/>
        <v>19830</v>
      </c>
      <c r="P12" s="19">
        <f t="shared" si="3"/>
        <v>15864</v>
      </c>
      <c r="Q12" s="19">
        <f t="shared" si="4"/>
        <v>3966</v>
      </c>
      <c r="R12" s="9"/>
      <c r="S12" s="10">
        <f t="shared" si="5"/>
        <v>39660</v>
      </c>
      <c r="T12" s="12">
        <v>0</v>
      </c>
      <c r="U12" s="20">
        <v>0</v>
      </c>
      <c r="V12" s="24"/>
      <c r="W12" s="13"/>
      <c r="X12" s="10">
        <f t="shared" si="6"/>
        <v>0</v>
      </c>
      <c r="Y12" s="10">
        <f t="shared" si="7"/>
        <v>39660</v>
      </c>
      <c r="Z12" s="11">
        <v>2</v>
      </c>
      <c r="AA12" s="11">
        <v>0.5</v>
      </c>
      <c r="AC12" s="11">
        <v>2</v>
      </c>
      <c r="AD12" s="11">
        <v>0</v>
      </c>
    </row>
    <row r="13" spans="1:30" ht="15.5" x14ac:dyDescent="0.35">
      <c r="A13" s="8">
        <f t="shared" si="8"/>
        <v>6</v>
      </c>
      <c r="B13" s="27" t="s">
        <v>26</v>
      </c>
      <c r="C13" s="8" t="s">
        <v>26</v>
      </c>
      <c r="D13" s="42" t="s">
        <v>48</v>
      </c>
      <c r="E13" s="8" t="s">
        <v>35</v>
      </c>
      <c r="F13" s="28" t="s">
        <v>41</v>
      </c>
      <c r="G13" s="54">
        <v>1083</v>
      </c>
      <c r="H13" s="57">
        <v>30</v>
      </c>
      <c r="I13" s="11">
        <v>30</v>
      </c>
      <c r="J13" s="4">
        <v>13580</v>
      </c>
      <c r="K13" s="4">
        <v>10400</v>
      </c>
      <c r="L13" s="4">
        <v>2020</v>
      </c>
      <c r="M13" s="9">
        <f t="shared" si="0"/>
        <v>26000</v>
      </c>
      <c r="N13" s="9">
        <f t="shared" si="1"/>
        <v>26000</v>
      </c>
      <c r="O13" s="19">
        <f t="shared" si="2"/>
        <v>13580</v>
      </c>
      <c r="P13" s="19">
        <f t="shared" si="3"/>
        <v>10400</v>
      </c>
      <c r="Q13" s="19">
        <f t="shared" si="4"/>
        <v>2020</v>
      </c>
      <c r="R13" s="9"/>
      <c r="S13" s="10">
        <f t="shared" si="5"/>
        <v>26000</v>
      </c>
      <c r="T13" s="12">
        <v>0</v>
      </c>
      <c r="U13" s="20">
        <v>0</v>
      </c>
      <c r="V13" s="24"/>
      <c r="W13" s="13"/>
      <c r="X13" s="10">
        <f t="shared" si="6"/>
        <v>0</v>
      </c>
      <c r="Y13" s="10">
        <f t="shared" si="7"/>
        <v>26000</v>
      </c>
      <c r="Z13" s="11">
        <v>6</v>
      </c>
      <c r="AA13" s="11">
        <v>1</v>
      </c>
      <c r="AC13" s="11">
        <v>5</v>
      </c>
      <c r="AD13" s="11">
        <v>0.5</v>
      </c>
    </row>
    <row r="14" spans="1:30" ht="15.5" x14ac:dyDescent="0.35">
      <c r="A14" s="8">
        <f t="shared" si="8"/>
        <v>7</v>
      </c>
      <c r="B14" s="27" t="s">
        <v>26</v>
      </c>
      <c r="C14" s="8" t="s">
        <v>26</v>
      </c>
      <c r="D14" s="42" t="s">
        <v>47</v>
      </c>
      <c r="E14" s="8" t="s">
        <v>34</v>
      </c>
      <c r="F14" s="46" t="s">
        <v>40</v>
      </c>
      <c r="G14" s="54">
        <v>1085</v>
      </c>
      <c r="H14" s="57">
        <v>29</v>
      </c>
      <c r="I14" s="47">
        <v>30</v>
      </c>
      <c r="J14" s="4">
        <v>13580</v>
      </c>
      <c r="K14" s="4">
        <v>8420</v>
      </c>
      <c r="L14" s="4">
        <v>0</v>
      </c>
      <c r="M14" s="9">
        <f t="shared" si="0"/>
        <v>22000</v>
      </c>
      <c r="N14" s="9">
        <f t="shared" si="1"/>
        <v>22000</v>
      </c>
      <c r="O14" s="19">
        <f t="shared" si="2"/>
        <v>13580</v>
      </c>
      <c r="P14" s="19">
        <f t="shared" si="3"/>
        <v>8420</v>
      </c>
      <c r="Q14" s="19">
        <f t="shared" si="4"/>
        <v>0</v>
      </c>
      <c r="R14" s="9"/>
      <c r="S14" s="10">
        <f t="shared" si="5"/>
        <v>22000</v>
      </c>
      <c r="T14" s="12">
        <v>0</v>
      </c>
      <c r="U14" s="20">
        <v>0</v>
      </c>
      <c r="V14" s="24"/>
      <c r="W14" s="13"/>
      <c r="X14" s="10">
        <f t="shared" si="6"/>
        <v>0</v>
      </c>
      <c r="Y14" s="10">
        <f t="shared" si="7"/>
        <v>22000</v>
      </c>
      <c r="Z14" s="11">
        <v>4</v>
      </c>
      <c r="AA14" s="11">
        <v>0.5</v>
      </c>
      <c r="AC14" s="11">
        <v>4</v>
      </c>
      <c r="AD14" s="11">
        <v>0</v>
      </c>
    </row>
    <row r="15" spans="1:30" ht="15.5" x14ac:dyDescent="0.35">
      <c r="A15" s="8">
        <f t="shared" si="8"/>
        <v>8</v>
      </c>
      <c r="B15" s="27" t="s">
        <v>26</v>
      </c>
      <c r="C15" s="8">
        <v>2810814780</v>
      </c>
      <c r="D15" s="42" t="s">
        <v>51</v>
      </c>
      <c r="E15" s="8" t="s">
        <v>36</v>
      </c>
      <c r="F15" s="46" t="s">
        <v>42</v>
      </c>
      <c r="G15" s="54">
        <v>1091</v>
      </c>
      <c r="H15" s="57">
        <v>30</v>
      </c>
      <c r="I15" s="47">
        <v>30</v>
      </c>
      <c r="J15" s="4">
        <v>13580</v>
      </c>
      <c r="K15" s="4">
        <v>6420</v>
      </c>
      <c r="L15" s="4">
        <v>0</v>
      </c>
      <c r="M15" s="9">
        <f t="shared" si="0"/>
        <v>20000</v>
      </c>
      <c r="N15" s="9">
        <f t="shared" si="1"/>
        <v>20000</v>
      </c>
      <c r="O15" s="19">
        <f t="shared" si="2"/>
        <v>13580</v>
      </c>
      <c r="P15" s="19">
        <f t="shared" si="3"/>
        <v>6420</v>
      </c>
      <c r="Q15" s="19">
        <f t="shared" si="4"/>
        <v>0</v>
      </c>
      <c r="R15" s="9"/>
      <c r="S15" s="10">
        <f t="shared" si="5"/>
        <v>20000</v>
      </c>
      <c r="T15" s="12">
        <v>0</v>
      </c>
      <c r="U15" s="39">
        <f>ROUNDUP(S15*0.75%,0)</f>
        <v>150</v>
      </c>
      <c r="V15" s="24"/>
      <c r="W15" s="13"/>
      <c r="X15" s="10">
        <f t="shared" si="6"/>
        <v>150</v>
      </c>
      <c r="Y15" s="10">
        <f t="shared" si="7"/>
        <v>19850</v>
      </c>
      <c r="Z15" s="11">
        <v>6</v>
      </c>
      <c r="AA15" s="11">
        <v>1</v>
      </c>
      <c r="AC15" s="11">
        <v>5</v>
      </c>
      <c r="AD15" s="11">
        <v>0.5</v>
      </c>
    </row>
    <row r="16" spans="1:30" ht="15.5" x14ac:dyDescent="0.35">
      <c r="A16" s="8">
        <f t="shared" si="8"/>
        <v>9</v>
      </c>
      <c r="B16" s="27" t="s">
        <v>26</v>
      </c>
      <c r="C16" s="8" t="s">
        <v>26</v>
      </c>
      <c r="D16" s="42" t="s">
        <v>49</v>
      </c>
      <c r="E16" s="8" t="s">
        <v>43</v>
      </c>
      <c r="F16" s="45" t="s">
        <v>44</v>
      </c>
      <c r="G16" s="54">
        <v>1093</v>
      </c>
      <c r="H16" s="57">
        <v>26.5</v>
      </c>
      <c r="I16" s="47">
        <v>30</v>
      </c>
      <c r="J16" s="4">
        <v>15813</v>
      </c>
      <c r="K16" s="4">
        <v>12650</v>
      </c>
      <c r="L16" s="4">
        <v>3163</v>
      </c>
      <c r="M16" s="9">
        <f t="shared" si="0"/>
        <v>31626</v>
      </c>
      <c r="N16" s="9">
        <f t="shared" si="1"/>
        <v>31626</v>
      </c>
      <c r="O16" s="19">
        <f t="shared" si="2"/>
        <v>15813</v>
      </c>
      <c r="P16" s="19">
        <f t="shared" si="3"/>
        <v>12650</v>
      </c>
      <c r="Q16" s="19">
        <f t="shared" si="4"/>
        <v>3163</v>
      </c>
      <c r="R16" s="9"/>
      <c r="S16" s="10">
        <f t="shared" si="5"/>
        <v>31626</v>
      </c>
      <c r="T16" s="12">
        <v>0</v>
      </c>
      <c r="U16" s="20">
        <v>0</v>
      </c>
      <c r="V16" s="24"/>
      <c r="W16" s="13"/>
      <c r="X16" s="10">
        <f t="shared" si="6"/>
        <v>0</v>
      </c>
      <c r="Y16" s="10">
        <f t="shared" si="7"/>
        <v>31626</v>
      </c>
      <c r="Z16" s="11">
        <v>1.5</v>
      </c>
      <c r="AA16" s="11">
        <v>0</v>
      </c>
      <c r="AC16" s="11">
        <v>3</v>
      </c>
      <c r="AD16" s="11">
        <v>0.5</v>
      </c>
    </row>
    <row r="17" spans="1:30" ht="15.5" x14ac:dyDescent="0.35">
      <c r="A17" s="8">
        <f t="shared" si="8"/>
        <v>10</v>
      </c>
      <c r="B17" s="32" t="s">
        <v>26</v>
      </c>
      <c r="C17" s="31" t="s">
        <v>26</v>
      </c>
      <c r="D17" s="43" t="s">
        <v>50</v>
      </c>
      <c r="E17" s="31" t="s">
        <v>54</v>
      </c>
      <c r="F17" s="56" t="s">
        <v>57</v>
      </c>
      <c r="G17" s="54">
        <v>1144</v>
      </c>
      <c r="H17" s="57">
        <v>29</v>
      </c>
      <c r="I17" s="48">
        <v>30</v>
      </c>
      <c r="J17" s="33">
        <v>16813</v>
      </c>
      <c r="K17" s="33">
        <v>13450</v>
      </c>
      <c r="L17" s="33">
        <v>3363</v>
      </c>
      <c r="M17" s="34">
        <f t="shared" si="0"/>
        <v>33626</v>
      </c>
      <c r="N17" s="34">
        <f t="shared" si="1"/>
        <v>33626</v>
      </c>
      <c r="O17" s="35">
        <f t="shared" si="2"/>
        <v>16813</v>
      </c>
      <c r="P17" s="35">
        <f t="shared" si="3"/>
        <v>13450</v>
      </c>
      <c r="Q17" s="35">
        <f t="shared" si="4"/>
        <v>3363</v>
      </c>
      <c r="R17" s="34"/>
      <c r="S17" s="36">
        <f t="shared" si="5"/>
        <v>33626</v>
      </c>
      <c r="T17" s="37">
        <v>0</v>
      </c>
      <c r="U17" s="21">
        <v>0</v>
      </c>
      <c r="V17" s="38"/>
      <c r="W17" s="13"/>
      <c r="X17" s="36">
        <f t="shared" si="6"/>
        <v>0</v>
      </c>
      <c r="Y17" s="36">
        <f t="shared" si="7"/>
        <v>33626</v>
      </c>
      <c r="Z17" s="11">
        <v>6</v>
      </c>
      <c r="AA17" s="11">
        <v>0</v>
      </c>
      <c r="AC17" s="11">
        <v>5</v>
      </c>
      <c r="AD17" s="11">
        <v>0.5</v>
      </c>
    </row>
    <row r="18" spans="1:30" ht="15.5" x14ac:dyDescent="0.35">
      <c r="A18" s="8">
        <f t="shared" si="8"/>
        <v>11</v>
      </c>
      <c r="B18" s="27" t="s">
        <v>26</v>
      </c>
      <c r="C18" s="8">
        <v>2810823597</v>
      </c>
      <c r="D18" s="44" t="s">
        <v>58</v>
      </c>
      <c r="E18" s="8" t="s">
        <v>59</v>
      </c>
      <c r="F18" s="46" t="s">
        <v>60</v>
      </c>
      <c r="G18" s="54">
        <v>1750</v>
      </c>
      <c r="H18" s="57">
        <v>30</v>
      </c>
      <c r="I18" s="47">
        <v>30</v>
      </c>
      <c r="J18" s="4">
        <v>13580</v>
      </c>
      <c r="K18" s="4">
        <v>1420</v>
      </c>
      <c r="L18" s="4">
        <v>0</v>
      </c>
      <c r="M18" s="9">
        <f t="shared" si="0"/>
        <v>15000</v>
      </c>
      <c r="N18" s="9">
        <f t="shared" si="1"/>
        <v>15000</v>
      </c>
      <c r="O18" s="19">
        <f t="shared" si="2"/>
        <v>13580</v>
      </c>
      <c r="P18" s="19">
        <f t="shared" si="3"/>
        <v>1420</v>
      </c>
      <c r="Q18" s="19">
        <f t="shared" si="4"/>
        <v>0</v>
      </c>
      <c r="R18" s="9"/>
      <c r="S18" s="10">
        <f t="shared" si="5"/>
        <v>15000</v>
      </c>
      <c r="T18" s="12">
        <v>0</v>
      </c>
      <c r="U18" s="39">
        <f>ROUNDUP(S18*0.75%,0)</f>
        <v>113</v>
      </c>
      <c r="V18" s="24"/>
      <c r="W18" s="1"/>
      <c r="X18" s="10">
        <f t="shared" si="6"/>
        <v>113</v>
      </c>
      <c r="Y18" s="10">
        <f t="shared" si="7"/>
        <v>14887</v>
      </c>
      <c r="Z18" s="11">
        <v>2</v>
      </c>
      <c r="AA18" s="11">
        <v>1</v>
      </c>
      <c r="AC18" s="11">
        <v>1</v>
      </c>
      <c r="AD18" s="11">
        <v>0.5</v>
      </c>
    </row>
    <row r="19" spans="1:30" ht="15.5" x14ac:dyDescent="0.35">
      <c r="A19" s="8">
        <f t="shared" si="8"/>
        <v>12</v>
      </c>
      <c r="B19" s="27" t="s">
        <v>26</v>
      </c>
      <c r="C19" s="8" t="s">
        <v>64</v>
      </c>
      <c r="D19" s="41" t="s">
        <v>62</v>
      </c>
      <c r="E19" s="49" t="s">
        <v>63</v>
      </c>
      <c r="F19" s="46" t="s">
        <v>65</v>
      </c>
      <c r="G19" s="55">
        <v>1882</v>
      </c>
      <c r="H19" s="57">
        <v>10</v>
      </c>
      <c r="I19" s="47">
        <v>10</v>
      </c>
      <c r="J19" s="4">
        <v>13580</v>
      </c>
      <c r="K19" s="4">
        <v>10000</v>
      </c>
      <c r="L19" s="4">
        <v>1420</v>
      </c>
      <c r="M19" s="9">
        <f t="shared" si="0"/>
        <v>25000</v>
      </c>
      <c r="N19" s="9">
        <f t="shared" si="1"/>
        <v>25000</v>
      </c>
      <c r="O19" s="19">
        <f t="shared" si="2"/>
        <v>4527</v>
      </c>
      <c r="P19" s="19">
        <f t="shared" si="3"/>
        <v>3333</v>
      </c>
      <c r="Q19" s="19">
        <f t="shared" si="4"/>
        <v>473</v>
      </c>
      <c r="R19" s="9"/>
      <c r="S19" s="10">
        <f t="shared" si="5"/>
        <v>8333</v>
      </c>
      <c r="T19" s="12">
        <v>0</v>
      </c>
      <c r="U19" s="20">
        <v>0</v>
      </c>
      <c r="V19" s="24"/>
      <c r="W19" s="1"/>
      <c r="X19" s="10">
        <f t="shared" si="6"/>
        <v>0</v>
      </c>
      <c r="Y19" s="10">
        <f t="shared" si="7"/>
        <v>8333</v>
      </c>
      <c r="Z19" s="11">
        <v>0</v>
      </c>
      <c r="AA19" s="11">
        <v>0</v>
      </c>
      <c r="AB19" s="52"/>
      <c r="AC19" s="53"/>
      <c r="AD19" s="53"/>
    </row>
    <row r="20" spans="1:30" x14ac:dyDescent="0.45">
      <c r="A20" s="14"/>
      <c r="B20" s="14"/>
      <c r="C20" s="14"/>
      <c r="D20" s="15"/>
      <c r="E20" s="2"/>
      <c r="F20" s="2"/>
      <c r="G20" s="2"/>
      <c r="H20" s="2"/>
      <c r="J20" s="2"/>
      <c r="K20" s="2"/>
      <c r="L20" s="2"/>
      <c r="M20" s="2"/>
      <c r="N20" s="2"/>
      <c r="O20" s="40">
        <f t="shared" ref="O20:Y20" si="9">SUM(O8:O19)</f>
        <v>234496</v>
      </c>
      <c r="P20" s="40">
        <f t="shared" si="9"/>
        <v>170510</v>
      </c>
      <c r="Q20" s="40">
        <f t="shared" si="9"/>
        <v>37623</v>
      </c>
      <c r="R20" s="40">
        <f t="shared" si="9"/>
        <v>0</v>
      </c>
      <c r="S20" s="40">
        <f t="shared" si="9"/>
        <v>442629</v>
      </c>
      <c r="T20" s="40">
        <f t="shared" si="9"/>
        <v>0</v>
      </c>
      <c r="U20" s="40">
        <f t="shared" si="9"/>
        <v>263</v>
      </c>
      <c r="V20" s="40">
        <f t="shared" si="9"/>
        <v>0</v>
      </c>
      <c r="W20" s="40">
        <f t="shared" si="9"/>
        <v>10000</v>
      </c>
      <c r="X20" s="40">
        <f t="shared" si="9"/>
        <v>10263</v>
      </c>
      <c r="Y20" s="40">
        <f t="shared" si="9"/>
        <v>432366</v>
      </c>
      <c r="Z20" s="16"/>
    </row>
    <row r="21" spans="1:30" x14ac:dyDescent="0.45">
      <c r="D21" s="15"/>
      <c r="N21" s="2"/>
      <c r="W21" s="17"/>
      <c r="X21" s="17"/>
      <c r="Y21" s="17"/>
    </row>
    <row r="22" spans="1:30" x14ac:dyDescent="0.45">
      <c r="D22" s="15"/>
      <c r="N22" s="2"/>
      <c r="X22" s="17"/>
    </row>
    <row r="23" spans="1:30" x14ac:dyDescent="0.45">
      <c r="D23" s="15"/>
      <c r="N23" s="2"/>
      <c r="S23" s="17"/>
      <c r="W23" s="17"/>
      <c r="Y23" s="17"/>
    </row>
    <row r="24" spans="1:30" x14ac:dyDescent="0.45">
      <c r="D24" s="15"/>
      <c r="N24" s="2"/>
    </row>
    <row r="25" spans="1:30" x14ac:dyDescent="0.45">
      <c r="D25" s="15"/>
      <c r="N25" s="2"/>
    </row>
    <row r="26" spans="1:30" x14ac:dyDescent="0.45">
      <c r="D26" s="15"/>
    </row>
    <row r="27" spans="1:30" x14ac:dyDescent="0.45">
      <c r="D27" s="15"/>
    </row>
    <row r="28" spans="1:30" x14ac:dyDescent="0.45">
      <c r="D28" s="15"/>
    </row>
    <row r="29" spans="1:30" x14ac:dyDescent="0.45">
      <c r="D29" s="15"/>
    </row>
    <row r="30" spans="1:30" x14ac:dyDescent="0.45">
      <c r="D30" s="15"/>
    </row>
    <row r="31" spans="1:30" x14ac:dyDescent="0.45">
      <c r="D31" s="15"/>
    </row>
    <row r="32" spans="1:30" x14ac:dyDescent="0.45">
      <c r="D32" s="15"/>
    </row>
    <row r="33" spans="4:4" x14ac:dyDescent="0.45">
      <c r="D33" s="15"/>
    </row>
    <row r="34" spans="4:4" x14ac:dyDescent="0.45">
      <c r="D34" s="15"/>
    </row>
    <row r="35" spans="4:4" x14ac:dyDescent="0.45">
      <c r="D35" s="15"/>
    </row>
    <row r="36" spans="4:4" x14ac:dyDescent="0.45">
      <c r="D36" s="15"/>
    </row>
    <row r="37" spans="4:4" x14ac:dyDescent="0.45">
      <c r="D37" s="15"/>
    </row>
    <row r="38" spans="4:4" x14ac:dyDescent="0.45">
      <c r="D38" s="15"/>
    </row>
    <row r="39" spans="4:4" x14ac:dyDescent="0.45">
      <c r="D39" s="15"/>
    </row>
    <row r="40" spans="4:4" x14ac:dyDescent="0.45">
      <c r="D40" s="15"/>
    </row>
    <row r="41" spans="4:4" x14ac:dyDescent="0.45">
      <c r="D41" s="15"/>
    </row>
    <row r="42" spans="4:4" x14ac:dyDescent="0.45">
      <c r="D42" s="15"/>
    </row>
    <row r="43" spans="4:4" x14ac:dyDescent="0.45">
      <c r="D43" s="15"/>
    </row>
    <row r="44" spans="4:4" x14ac:dyDescent="0.45">
      <c r="D44" s="15"/>
    </row>
    <row r="45" spans="4:4" x14ac:dyDescent="0.45">
      <c r="D45" s="15"/>
    </row>
    <row r="46" spans="4:4" x14ac:dyDescent="0.45">
      <c r="D46" s="15"/>
    </row>
  </sheetData>
  <mergeCells count="7">
    <mergeCell ref="AC5:AC6"/>
    <mergeCell ref="AD5:AD6"/>
    <mergeCell ref="A1:AA3"/>
    <mergeCell ref="T5:W5"/>
    <mergeCell ref="Z5:Z6"/>
    <mergeCell ref="AA5:AA6"/>
    <mergeCell ref="A4:Y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APR-26</vt:lpstr>
    </vt:vector>
  </TitlesOfParts>
  <Company>sify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</dc:creator>
  <cp:lastModifiedBy>Sumit Negi</cp:lastModifiedBy>
  <cp:lastPrinted>2025-08-05T11:10:44Z</cp:lastPrinted>
  <dcterms:created xsi:type="dcterms:W3CDTF">2014-01-12T12:15:53Z</dcterms:created>
  <dcterms:modified xsi:type="dcterms:W3CDTF">2026-05-07T14:17:13Z</dcterms:modified>
</cp:coreProperties>
</file>