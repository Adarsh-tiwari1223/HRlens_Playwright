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mit\Drive D\Sumit\Monthly Salary\4.Salary F.Y 26-27\Salary APRIL 2026\ORIGINATOR, JOBVRITTA, BVB\"/>
    </mc:Choice>
  </mc:AlternateContent>
  <bookViews>
    <workbookView xWindow="0" yWindow="0" windowWidth="23040" windowHeight="8620" tabRatio="583"/>
  </bookViews>
  <sheets>
    <sheet name="Apr-26" sheetId="30" r:id="rId1"/>
  </sheets>
  <definedNames>
    <definedName name="_xlnm._FilterDatabase" localSheetId="0" hidden="1">'Apr-26'!$A$7:$AD$7</definedName>
  </definedNames>
  <calcPr calcId="162913"/>
</workbook>
</file>

<file path=xl/calcChain.xml><?xml version="1.0" encoding="utf-8"?>
<calcChain xmlns="http://schemas.openxmlformats.org/spreadsheetml/2006/main">
  <c r="Q36" i="30" l="1"/>
  <c r="W42" i="30"/>
  <c r="V42" i="30"/>
  <c r="R42" i="30"/>
  <c r="P20" i="30"/>
  <c r="P21" i="30"/>
  <c r="P22" i="30"/>
  <c r="P39" i="30"/>
  <c r="P23" i="30"/>
  <c r="P24" i="30"/>
  <c r="P25" i="30"/>
  <c r="P26" i="30"/>
  <c r="P27" i="30"/>
  <c r="P28" i="30"/>
  <c r="P29" i="30"/>
  <c r="P30" i="30"/>
  <c r="P31" i="30"/>
  <c r="P40" i="30"/>
  <c r="P32" i="30"/>
  <c r="P33" i="30"/>
  <c r="P37" i="30"/>
  <c r="P34" i="30"/>
  <c r="P35" i="30"/>
  <c r="P41" i="30"/>
  <c r="P36" i="30"/>
  <c r="Q38" i="30"/>
  <c r="Q19" i="30"/>
  <c r="Q20" i="30"/>
  <c r="Q21" i="30"/>
  <c r="Q22" i="30"/>
  <c r="Q39" i="30"/>
  <c r="Q23" i="30"/>
  <c r="Q24" i="30"/>
  <c r="Q25" i="30"/>
  <c r="Q26" i="30"/>
  <c r="Q27" i="30"/>
  <c r="Q28" i="30"/>
  <c r="Q29" i="30"/>
  <c r="Q30" i="30"/>
  <c r="Q31" i="30"/>
  <c r="Q40" i="30"/>
  <c r="Q32" i="30"/>
  <c r="Q33" i="30"/>
  <c r="Q37" i="30"/>
  <c r="Q34" i="30"/>
  <c r="Q35" i="30"/>
  <c r="Q41" i="30"/>
  <c r="O20" i="30"/>
  <c r="T20" i="30" s="1"/>
  <c r="O21" i="30"/>
  <c r="T21" i="30" s="1"/>
  <c r="O22" i="30"/>
  <c r="T22" i="30" s="1"/>
  <c r="O39" i="30"/>
  <c r="O23" i="30"/>
  <c r="T23" i="30" s="1"/>
  <c r="O24" i="30"/>
  <c r="O25" i="30"/>
  <c r="T25" i="30" s="1"/>
  <c r="O26" i="30"/>
  <c r="O27" i="30"/>
  <c r="T27" i="30" s="1"/>
  <c r="O28" i="30"/>
  <c r="T28" i="30" s="1"/>
  <c r="O29" i="30"/>
  <c r="T29" i="30" s="1"/>
  <c r="O30" i="30"/>
  <c r="T30" i="30" s="1"/>
  <c r="O31" i="30"/>
  <c r="T31" i="30" s="1"/>
  <c r="O40" i="30"/>
  <c r="O32" i="30"/>
  <c r="T32" i="30" s="1"/>
  <c r="O33" i="30"/>
  <c r="T33" i="30" s="1"/>
  <c r="O37" i="30"/>
  <c r="T37" i="30" s="1"/>
  <c r="O34" i="30"/>
  <c r="T34" i="30" s="1"/>
  <c r="O35" i="30"/>
  <c r="S35" i="30" s="1"/>
  <c r="U35" i="30" s="1"/>
  <c r="O41" i="30"/>
  <c r="T41" i="30" s="1"/>
  <c r="O36" i="30"/>
  <c r="T36" i="30" s="1"/>
  <c r="P19" i="30"/>
  <c r="O19" i="30"/>
  <c r="T26" i="30"/>
  <c r="N41" i="30"/>
  <c r="N23" i="30"/>
  <c r="M36" i="30"/>
  <c r="N36" i="30" s="1"/>
  <c r="M41" i="30"/>
  <c r="M35" i="30"/>
  <c r="N35" i="30" s="1"/>
  <c r="M34" i="30"/>
  <c r="N34" i="30" s="1"/>
  <c r="M37" i="30"/>
  <c r="N37" i="30" s="1"/>
  <c r="M33" i="30"/>
  <c r="N33" i="30" s="1"/>
  <c r="M32" i="30"/>
  <c r="N32" i="30" s="1"/>
  <c r="M40" i="30"/>
  <c r="N40" i="30" s="1"/>
  <c r="M31" i="30"/>
  <c r="N31" i="30" s="1"/>
  <c r="M30" i="30"/>
  <c r="N30" i="30" s="1"/>
  <c r="M29" i="30"/>
  <c r="N29" i="30" s="1"/>
  <c r="M28" i="30"/>
  <c r="N28" i="30" s="1"/>
  <c r="M27" i="30"/>
  <c r="N27" i="30" s="1"/>
  <c r="M26" i="30"/>
  <c r="N26" i="30" s="1"/>
  <c r="M25" i="30"/>
  <c r="N25" i="30" s="1"/>
  <c r="M24" i="30"/>
  <c r="N24" i="30" s="1"/>
  <c r="M23" i="30"/>
  <c r="M39" i="30"/>
  <c r="N39" i="30" s="1"/>
  <c r="M22" i="30"/>
  <c r="N22" i="30" s="1"/>
  <c r="M21" i="30"/>
  <c r="N21" i="30" s="1"/>
  <c r="M20" i="30"/>
  <c r="N20" i="30" s="1"/>
  <c r="M19" i="30"/>
  <c r="N19" i="30" s="1"/>
  <c r="M38" i="30"/>
  <c r="N38" i="30" s="1"/>
  <c r="P38" i="30"/>
  <c r="O38" i="30"/>
  <c r="T38" i="30" s="1"/>
  <c r="T11" i="30"/>
  <c r="T12" i="30"/>
  <c r="T9" i="30"/>
  <c r="S33" i="30" l="1"/>
  <c r="U33" i="30" s="1"/>
  <c r="X33" i="30" s="1"/>
  <c r="Y33" i="30" s="1"/>
  <c r="S26" i="30"/>
  <c r="U26" i="30" s="1"/>
  <c r="X26" i="30" s="1"/>
  <c r="Y26" i="30" s="1"/>
  <c r="S39" i="30"/>
  <c r="U39" i="30" s="1"/>
  <c r="S38" i="30"/>
  <c r="U38" i="30" s="1"/>
  <c r="X38" i="30" s="1"/>
  <c r="Y38" i="30" s="1"/>
  <c r="T39" i="30"/>
  <c r="X39" i="30" s="1"/>
  <c r="Y39" i="30" s="1"/>
  <c r="S20" i="30"/>
  <c r="U20" i="30" s="1"/>
  <c r="X20" i="30" s="1"/>
  <c r="Y20" i="30" s="1"/>
  <c r="S19" i="30"/>
  <c r="U19" i="30" s="1"/>
  <c r="T35" i="30"/>
  <c r="X35" i="30" s="1"/>
  <c r="Y35" i="30" s="1"/>
  <c r="S36" i="30"/>
  <c r="S41" i="30"/>
  <c r="U41" i="30" s="1"/>
  <c r="X41" i="30" s="1"/>
  <c r="Y41" i="30" s="1"/>
  <c r="S37" i="30"/>
  <c r="U37" i="30" s="1"/>
  <c r="X37" i="30" s="1"/>
  <c r="S31" i="30"/>
  <c r="U31" i="30" s="1"/>
  <c r="X31" i="30" s="1"/>
  <c r="Y31" i="30" s="1"/>
  <c r="S30" i="30"/>
  <c r="U30" i="30" s="1"/>
  <c r="X30" i="30" s="1"/>
  <c r="Y30" i="30" s="1"/>
  <c r="S27" i="30"/>
  <c r="U27" i="30" s="1"/>
  <c r="X27" i="30" s="1"/>
  <c r="Y27" i="30" s="1"/>
  <c r="S25" i="30"/>
  <c r="U25" i="30" s="1"/>
  <c r="X25" i="30" s="1"/>
  <c r="Y25" i="30" s="1"/>
  <c r="S23" i="30"/>
  <c r="U23" i="30" s="1"/>
  <c r="X23" i="30" s="1"/>
  <c r="Y23" i="30" s="1"/>
  <c r="S32" i="30"/>
  <c r="U32" i="30" s="1"/>
  <c r="X32" i="30" s="1"/>
  <c r="Y32" i="30" s="1"/>
  <c r="S29" i="30"/>
  <c r="U29" i="30" s="1"/>
  <c r="X29" i="30" s="1"/>
  <c r="Y29" i="30" s="1"/>
  <c r="S22" i="30"/>
  <c r="U22" i="30" s="1"/>
  <c r="X22" i="30" s="1"/>
  <c r="Y22" i="30" s="1"/>
  <c r="S40" i="30"/>
  <c r="U40" i="30" s="1"/>
  <c r="S24" i="30"/>
  <c r="U24" i="30" s="1"/>
  <c r="T40" i="30"/>
  <c r="T24" i="30"/>
  <c r="S34" i="30"/>
  <c r="U34" i="30" s="1"/>
  <c r="X34" i="30" s="1"/>
  <c r="Y34" i="30" s="1"/>
  <c r="S28" i="30"/>
  <c r="X28" i="30" s="1"/>
  <c r="Y28" i="30" s="1"/>
  <c r="S21" i="30"/>
  <c r="U21" i="30" s="1"/>
  <c r="X21" i="30" s="1"/>
  <c r="Y21" i="30" s="1"/>
  <c r="T19" i="30"/>
  <c r="X19" i="30" l="1"/>
  <c r="Y19" i="30" s="1"/>
  <c r="U36" i="30"/>
  <c r="Y37" i="30"/>
  <c r="X24" i="30"/>
  <c r="Y24" i="30" s="1"/>
  <c r="X40" i="30"/>
  <c r="Y40" i="30" s="1"/>
  <c r="X36" i="30" l="1"/>
  <c r="Y36" i="30" l="1"/>
  <c r="M18" i="30" l="1"/>
  <c r="N18" i="30" s="1"/>
  <c r="O18" i="30"/>
  <c r="T18" i="30" s="1"/>
  <c r="P18" i="30"/>
  <c r="Q18" i="30"/>
  <c r="M17" i="30"/>
  <c r="N17" i="30" s="1"/>
  <c r="O17" i="30"/>
  <c r="T17" i="30" s="1"/>
  <c r="P17" i="30"/>
  <c r="Q17" i="30"/>
  <c r="S17" i="30" l="1"/>
  <c r="S18" i="30"/>
  <c r="Q10" i="30"/>
  <c r="P10" i="30"/>
  <c r="O10" i="30"/>
  <c r="T10" i="30" s="1"/>
  <c r="X10" i="30" s="1"/>
  <c r="M10" i="30"/>
  <c r="N10" i="30" s="1"/>
  <c r="Q15" i="30"/>
  <c r="P15" i="30"/>
  <c r="O15" i="30"/>
  <c r="T15" i="30" s="1"/>
  <c r="M15" i="30"/>
  <c r="N15" i="30" s="1"/>
  <c r="O14" i="30"/>
  <c r="T14" i="30" s="1"/>
  <c r="P14" i="30"/>
  <c r="Q14" i="30"/>
  <c r="O13" i="30"/>
  <c r="T13" i="30" s="1"/>
  <c r="P13" i="30"/>
  <c r="Q13" i="30"/>
  <c r="O8" i="30"/>
  <c r="T8" i="30" s="1"/>
  <c r="X8" i="30" s="1"/>
  <c r="P8" i="30"/>
  <c r="Q8" i="30"/>
  <c r="O16" i="30"/>
  <c r="T16" i="30" s="1"/>
  <c r="P16" i="30"/>
  <c r="Q16" i="30"/>
  <c r="M14" i="30"/>
  <c r="N14" i="30" s="1"/>
  <c r="M13" i="30"/>
  <c r="N13" i="30" s="1"/>
  <c r="M8" i="30"/>
  <c r="N8" i="30" s="1"/>
  <c r="M16" i="30"/>
  <c r="N16" i="30" s="1"/>
  <c r="T42" i="30" l="1"/>
  <c r="U18" i="30"/>
  <c r="X18" i="30" s="1"/>
  <c r="Y18" i="30" s="1"/>
  <c r="U17" i="30"/>
  <c r="X17" i="30" s="1"/>
  <c r="Y17" i="30" s="1"/>
  <c r="S10" i="30"/>
  <c r="Y10" i="30" s="1"/>
  <c r="S15" i="30"/>
  <c r="S13" i="30"/>
  <c r="S14" i="30"/>
  <c r="S8" i="30"/>
  <c r="Y8" i="30" s="1"/>
  <c r="S16" i="30"/>
  <c r="X14" i="30" l="1"/>
  <c r="Y14" i="30" s="1"/>
  <c r="U16" i="30"/>
  <c r="X16" i="30" s="1"/>
  <c r="Y16" i="30" s="1"/>
  <c r="U13" i="30"/>
  <c r="U15" i="30"/>
  <c r="X15" i="30" s="1"/>
  <c r="Y15" i="30" s="1"/>
  <c r="X13" i="30" l="1"/>
  <c r="Y13" i="30" s="1"/>
  <c r="U42" i="30"/>
  <c r="Q9" i="30"/>
  <c r="P9" i="30"/>
  <c r="O9" i="30"/>
  <c r="M9" i="30"/>
  <c r="N9" i="30" s="1"/>
  <c r="Q11" i="30"/>
  <c r="P11" i="30"/>
  <c r="O11" i="30"/>
  <c r="M11" i="30"/>
  <c r="N11" i="30" s="1"/>
  <c r="Q12" i="30"/>
  <c r="P12" i="30"/>
  <c r="O12" i="30"/>
  <c r="M12" i="30"/>
  <c r="N12" i="30" s="1"/>
  <c r="P42" i="30" l="1"/>
  <c r="O42" i="30"/>
  <c r="Q42" i="30"/>
  <c r="X12" i="30"/>
  <c r="S12" i="30"/>
  <c r="S9" i="30"/>
  <c r="S11" i="30"/>
  <c r="S42" i="30" l="1"/>
  <c r="Y12" i="30"/>
  <c r="X11" i="30"/>
  <c r="Y11" i="30" s="1"/>
  <c r="X9" i="30"/>
  <c r="Y9" i="30" s="1"/>
  <c r="Y42" i="30" l="1"/>
  <c r="X42" i="30"/>
  <c r="A8" i="30" l="1"/>
  <c r="A9" i="30"/>
  <c r="A13" i="30"/>
  <c r="A14" i="30"/>
  <c r="A10" i="30"/>
  <c r="A11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</calcChain>
</file>

<file path=xl/sharedStrings.xml><?xml version="1.0" encoding="utf-8"?>
<sst xmlns="http://schemas.openxmlformats.org/spreadsheetml/2006/main" count="186" uniqueCount="133">
  <si>
    <t xml:space="preserve">Sl. </t>
  </si>
  <si>
    <t>Emp. Name</t>
  </si>
  <si>
    <t>Emp.</t>
  </si>
  <si>
    <t>Total</t>
  </si>
  <si>
    <t>Basic</t>
  </si>
  <si>
    <t>H.R.A.</t>
  </si>
  <si>
    <t>Conv.</t>
  </si>
  <si>
    <t>DEDUCTIONS</t>
  </si>
  <si>
    <t>TOT.</t>
  </si>
  <si>
    <t xml:space="preserve">Net </t>
  </si>
  <si>
    <t>No.</t>
  </si>
  <si>
    <t>Code</t>
  </si>
  <si>
    <t>Days</t>
  </si>
  <si>
    <t>Salary</t>
  </si>
  <si>
    <t>Amt.</t>
  </si>
  <si>
    <t>P.F.</t>
  </si>
  <si>
    <t>E.S.I.</t>
  </si>
  <si>
    <t>ADV.</t>
  </si>
  <si>
    <t>T.D.S.</t>
  </si>
  <si>
    <t>Ded.</t>
  </si>
  <si>
    <t>Payable</t>
  </si>
  <si>
    <t>PAN</t>
  </si>
  <si>
    <t>DOB</t>
  </si>
  <si>
    <t>Reserve Leave</t>
  </si>
  <si>
    <t>INCE.</t>
  </si>
  <si>
    <t>UAN</t>
  </si>
  <si>
    <t>IP NO.</t>
  </si>
  <si>
    <t>N/A</t>
  </si>
  <si>
    <t>Casual Leave</t>
  </si>
  <si>
    <t>CODE CREWZS PRIVATE LIMITED</t>
  </si>
  <si>
    <t>VIBHOR SINGH</t>
  </si>
  <si>
    <t>ROHIT SINGH</t>
  </si>
  <si>
    <t>ABHINAV YADAV</t>
  </si>
  <si>
    <t>RAGHVENDRA PANDEY</t>
  </si>
  <si>
    <t>VINAYAN JHA</t>
  </si>
  <si>
    <t>LOVELY SINGH</t>
  </si>
  <si>
    <t>NAVNIT SINGH</t>
  </si>
  <si>
    <t>ANURADHA SINGH</t>
  </si>
  <si>
    <t>HIOPS8177P</t>
  </si>
  <si>
    <t>GTSPS2888P</t>
  </si>
  <si>
    <t>ANEPY1540N</t>
  </si>
  <si>
    <t>FTEPP9371P</t>
  </si>
  <si>
    <t>CDHPJ3559H</t>
  </si>
  <si>
    <t>QFCPS2630H</t>
  </si>
  <si>
    <t>HUHPS3672C</t>
  </si>
  <si>
    <t>NHCPK8882A</t>
  </si>
  <si>
    <t>PSUPS6955M</t>
  </si>
  <si>
    <t>05.03.1996</t>
  </si>
  <si>
    <t>25.12.1997</t>
  </si>
  <si>
    <t>31.07.1997</t>
  </si>
  <si>
    <t>17.04.2001</t>
  </si>
  <si>
    <t>04.11.1998</t>
  </si>
  <si>
    <t>23.04.2004</t>
  </si>
  <si>
    <t>29.06.1998</t>
  </si>
  <si>
    <t>26.12.2006</t>
  </si>
  <si>
    <t>29.03.2003</t>
  </si>
  <si>
    <t>ABHINEET SINGH</t>
  </si>
  <si>
    <t>MAYANK SINGH</t>
  </si>
  <si>
    <t>ALOK KUMAR</t>
  </si>
  <si>
    <t>EAQPA1620C</t>
  </si>
  <si>
    <t>27.04.2001</t>
  </si>
  <si>
    <t>FCQPS6895Q</t>
  </si>
  <si>
    <t>10.07.1995</t>
  </si>
  <si>
    <t>SALARY FOR THE MONTH OF APRIL 2026</t>
  </si>
  <si>
    <t>NISHA KUMARI</t>
  </si>
  <si>
    <t>VAMEEKA SINGH</t>
  </si>
  <si>
    <t>ROHIT KUMAR SINGH</t>
  </si>
  <si>
    <t>DHEERAJ YADAV</t>
  </si>
  <si>
    <t>ISHAAN VATSAL</t>
  </si>
  <si>
    <t>ANIKET KUMAR</t>
  </si>
  <si>
    <t>ASHUTOSH SINGH</t>
  </si>
  <si>
    <t>VATSALYA SINGH</t>
  </si>
  <si>
    <t>AKHIL SHEKHARAN</t>
  </si>
  <si>
    <t>KUSHAGRA KUSHWAHA</t>
  </si>
  <si>
    <t>RAHUL KUMAR MAURYA</t>
  </si>
  <si>
    <t>AMAN SINGH</t>
  </si>
  <si>
    <t>BHEEM CHANDRA KANNAUJIA</t>
  </si>
  <si>
    <t>PRIYANSHU KUMAR</t>
  </si>
  <si>
    <t>KARAN SINGH</t>
  </si>
  <si>
    <t>SATYAM GUPTA</t>
  </si>
  <si>
    <t>RAHUL PRAJAPATI</t>
  </si>
  <si>
    <t>UMANG RAJ</t>
  </si>
  <si>
    <t>ANKIT TIWARI</t>
  </si>
  <si>
    <t>AYUSH KUMAR UPADHYAY</t>
  </si>
  <si>
    <t>SHIVANGI SINGH</t>
  </si>
  <si>
    <t>VARTIKA RAI</t>
  </si>
  <si>
    <t>04.04.2005</t>
  </si>
  <si>
    <t>11.12.2003</t>
  </si>
  <si>
    <t>MZLPK4478A</t>
  </si>
  <si>
    <t>POJPS9198D</t>
  </si>
  <si>
    <t>NDUPS6057K</t>
  </si>
  <si>
    <t>BHKPY8709C</t>
  </si>
  <si>
    <t>CFJPV4511H</t>
  </si>
  <si>
    <t>LAHPK5900P</t>
  </si>
  <si>
    <t>HTXPS9631G</t>
  </si>
  <si>
    <t>PGAPS6411L</t>
  </si>
  <si>
    <t>HRWPS5269D</t>
  </si>
  <si>
    <t>GZRPS2526B</t>
  </si>
  <si>
    <t>EKNPK7230P</t>
  </si>
  <si>
    <t>BUOPM2520G</t>
  </si>
  <si>
    <t>OWOPS8085R</t>
  </si>
  <si>
    <t>FQXPK8158M</t>
  </si>
  <si>
    <t>EKTPK8979K</t>
  </si>
  <si>
    <t>QOYPS1766F</t>
  </si>
  <si>
    <t>DRNPG9910E</t>
  </si>
  <si>
    <t>FWUPP6571C</t>
  </si>
  <si>
    <t>FHEPR0746E</t>
  </si>
  <si>
    <t>BYHPT7720A</t>
  </si>
  <si>
    <t>APVPU4076J</t>
  </si>
  <si>
    <t>RHNPS4296D</t>
  </si>
  <si>
    <t>HCQPR3497M</t>
  </si>
  <si>
    <t>21.08.2003</t>
  </si>
  <si>
    <t>01.07.2001</t>
  </si>
  <si>
    <t>31.05.2005</t>
  </si>
  <si>
    <t>26.12.2002</t>
  </si>
  <si>
    <t>23.01.1998</t>
  </si>
  <si>
    <t>03.11.2002</t>
  </si>
  <si>
    <t>22.09.1997</t>
  </si>
  <si>
    <t>05.07.1995</t>
  </si>
  <si>
    <t>24.08.1997</t>
  </si>
  <si>
    <t>23.07.1992</t>
  </si>
  <si>
    <t>20.11.2003</t>
  </si>
  <si>
    <t>18.04.1997</t>
  </si>
  <si>
    <t>25.02.1998</t>
  </si>
  <si>
    <t>05.01.2005</t>
  </si>
  <si>
    <t>02.09.2002</t>
  </si>
  <si>
    <t>26.08.2001</t>
  </si>
  <si>
    <t>25.03.2005</t>
  </si>
  <si>
    <t>05.09.2002</t>
  </si>
  <si>
    <t>06.10.2004</t>
  </si>
  <si>
    <t>07.05.2005</t>
  </si>
  <si>
    <t>04.04.2002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</si>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</sst>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Arial"/>
      <family val="2"/>
    </font>
    <font>
      <b/>
      <sz val="20"/>
      <name val="Arial"/>
      <family val="2"/>
    </font>
    <font>
      <sz val="12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2" fillId="0" borderId="0"/>
    <xf numFmtId="0" fontId="3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2" applyNumberFormat="0" applyAlignment="0" applyProtection="0"/>
    <xf numFmtId="0" fontId="20" fillId="7" borderId="13" applyNumberFormat="0" applyAlignment="0" applyProtection="0"/>
    <xf numFmtId="0" fontId="21" fillId="7" borderId="12" applyNumberFormat="0" applyAlignment="0" applyProtection="0"/>
    <xf numFmtId="0" fontId="22" fillId="0" borderId="14" applyNumberFormat="0" applyFill="0" applyAlignment="0" applyProtection="0"/>
    <xf numFmtId="0" fontId="23" fillId="8" borderId="15" applyNumberFormat="0" applyAlignment="0" applyProtection="0"/>
    <xf numFmtId="0" fontId="2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7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</cellStyleXfs>
  <cellXfs count="82">
    <xf numFmtId="0" fontId="0" fillId="0" borderId="0" xfId="0"/>
    <xf numFmtId="0" fontId="8" fillId="0" borderId="1" xfId="0" applyFont="1" applyFill="1" applyBorder="1" applyAlignment="1">
      <alignment horizontal="left"/>
    </xf>
    <xf numFmtId="0" fontId="7" fillId="0" borderId="1" xfId="0" applyFont="1" applyFill="1" applyBorder="1"/>
    <xf numFmtId="0" fontId="2" fillId="0" borderId="0" xfId="0" applyFont="1" applyFill="1"/>
    <xf numFmtId="0" fontId="4" fillId="0" borderId="0" xfId="0" applyFont="1" applyFill="1"/>
    <xf numFmtId="0" fontId="2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shrinkToFit="1"/>
    </xf>
    <xf numFmtId="0" fontId="7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vertical="center"/>
    </xf>
    <xf numFmtId="0" fontId="7" fillId="0" borderId="6" xfId="0" applyFont="1" applyFill="1" applyBorder="1"/>
    <xf numFmtId="1" fontId="7" fillId="0" borderId="7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/>
    </xf>
    <xf numFmtId="1" fontId="4" fillId="0" borderId="0" xfId="0" applyNumberFormat="1" applyFont="1" applyFill="1"/>
    <xf numFmtId="49" fontId="4" fillId="0" borderId="0" xfId="0" applyNumberFormat="1" applyFont="1" applyFill="1" applyAlignment="1">
      <alignment horizontal="center"/>
    </xf>
    <xf numFmtId="0" fontId="5" fillId="0" borderId="0" xfId="0" applyFont="1" applyFill="1"/>
    <xf numFmtId="1" fontId="2" fillId="0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vertical="center"/>
    </xf>
    <xf numFmtId="1" fontId="7" fillId="2" borderId="6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vertical="center"/>
    </xf>
    <xf numFmtId="0" fontId="8" fillId="34" borderId="1" xfId="0" applyFont="1" applyFill="1" applyBorder="1" applyAlignment="1">
      <alignment horizontal="left"/>
    </xf>
    <xf numFmtId="164" fontId="7" fillId="0" borderId="0" xfId="0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left"/>
    </xf>
    <xf numFmtId="14" fontId="7" fillId="0" borderId="6" xfId="0" applyNumberFormat="1" applyFont="1" applyFill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/>
    </xf>
    <xf numFmtId="0" fontId="2" fillId="0" borderId="6" xfId="0" applyFont="1" applyFill="1" applyBorder="1"/>
    <xf numFmtId="0" fontId="7" fillId="0" borderId="6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1" fontId="2" fillId="0" borderId="6" xfId="0" applyNumberFormat="1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right" vertical="center"/>
    </xf>
    <xf numFmtId="1" fontId="2" fillId="0" borderId="6" xfId="0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center"/>
    </xf>
    <xf numFmtId="0" fontId="2" fillId="0" borderId="5" xfId="0" applyFont="1" applyFill="1" applyBorder="1"/>
    <xf numFmtId="0" fontId="2" fillId="0" borderId="19" xfId="0" applyFont="1" applyFill="1" applyBorder="1"/>
    <xf numFmtId="1" fontId="2" fillId="2" borderId="1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21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18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/>
    </xf>
    <xf numFmtId="0" fontId="2" fillId="0" borderId="0" xfId="0" applyNumberFormat="1" applyFont="1" applyFill="1"/>
    <xf numFmtId="0" fontId="4" fillId="0" borderId="0" xfId="0" applyNumberFormat="1" applyFont="1" applyFill="1"/>
    <xf numFmtId="0" fontId="7" fillId="0" borderId="22" xfId="0" applyFont="1" applyBorder="1" applyAlignment="1">
      <alignment horizontal="center" wrapText="1"/>
    </xf>
    <xf numFmtId="0" fontId="7" fillId="0" borderId="20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/>
    </xf>
    <xf numFmtId="0" fontId="7" fillId="0" borderId="3" xfId="0" applyFont="1" applyFill="1" applyBorder="1"/>
    <xf numFmtId="0" fontId="28" fillId="35" borderId="3" xfId="0" applyNumberFormat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164" fontId="7" fillId="0" borderId="5" xfId="0" applyNumberFormat="1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49" fontId="7" fillId="0" borderId="6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/>
    <cellStyle name="Normal 2 2" xfId="2"/>
    <cellStyle name="Normal 3" xfId="3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tabSelected="1" zoomScale="55" zoomScaleNormal="55" workbookViewId="0">
      <pane ySplit="6" topLeftCell="A28" activePane="bottomLeft" state="frozen"/>
      <selection pane="bottomLeft" activeCell="W42" sqref="W42"/>
    </sheetView>
  </sheetViews>
  <sheetFormatPr defaultColWidth="9.36328125" defaultRowHeight="18.5" x14ac:dyDescent="0.45"/>
  <cols>
    <col min="1" max="1" width="6.6328125" style="4" customWidth="1"/>
    <col min="2" max="2" width="14.08984375" style="4" customWidth="1"/>
    <col min="3" max="3" width="13.54296875" style="4" bestFit="1" customWidth="1"/>
    <col min="4" max="4" width="29.81640625" style="4" bestFit="1" customWidth="1"/>
    <col min="5" max="5" width="14.36328125" style="4" customWidth="1"/>
    <col min="6" max="6" width="13.6328125" style="4" customWidth="1"/>
    <col min="7" max="7" width="7.54296875" style="4" customWidth="1"/>
    <col min="8" max="8" width="8" style="61" customWidth="1"/>
    <col min="9" max="9" width="6" style="59" bestFit="1" customWidth="1"/>
    <col min="10" max="11" width="7.453125" style="4" customWidth="1"/>
    <col min="12" max="12" width="7.6328125" style="4" customWidth="1"/>
    <col min="13" max="13" width="8.6328125" style="4" customWidth="1"/>
    <col min="14" max="14" width="10" style="4" customWidth="1"/>
    <col min="15" max="16" width="8.6328125" style="4" customWidth="1"/>
    <col min="17" max="17" width="7.6328125" style="4" customWidth="1"/>
    <col min="18" max="18" width="7.453125" style="4" customWidth="1"/>
    <col min="19" max="19" width="8.6328125" style="4" customWidth="1"/>
    <col min="20" max="20" width="6.90625" style="4" customWidth="1"/>
    <col min="21" max="21" width="5.6328125" style="4" customWidth="1"/>
    <col min="22" max="22" width="6.90625" style="4" customWidth="1"/>
    <col min="23" max="24" width="7" style="4" customWidth="1"/>
    <col min="25" max="25" width="8.6328125" style="4" customWidth="1"/>
    <col min="26" max="26" width="8.6328125" style="19" customWidth="1"/>
    <col min="27" max="27" width="8.6328125" style="24" customWidth="1"/>
    <col min="28" max="28" width="6.6328125" customWidth="1"/>
  </cols>
  <sheetData>
    <row r="1" spans="1:30" s="4" customFormat="1" ht="20.25" customHeight="1" x14ac:dyDescent="0.45">
      <c r="A1" s="72" t="s">
        <v>29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30" s="4" customFormat="1" ht="18.75" customHeight="1" x14ac:dyDescent="0.4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20" t="s">
        <v>12</v>
      </c>
    </row>
    <row r="3" spans="1:30" s="4" customFormat="1" x14ac:dyDescent="0.4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20">
        <v>30</v>
      </c>
    </row>
    <row r="4" spans="1:30" s="4" customFormat="1" ht="21" customHeight="1" x14ac:dyDescent="0.45">
      <c r="A4" s="79" t="s">
        <v>63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1"/>
      <c r="Z4" s="25"/>
      <c r="AA4" s="25"/>
    </row>
    <row r="5" spans="1:30" s="4" customFormat="1" ht="18.75" customHeight="1" x14ac:dyDescent="0.45">
      <c r="A5" s="6" t="s">
        <v>0</v>
      </c>
      <c r="B5" s="6" t="s">
        <v>25</v>
      </c>
      <c r="C5" s="6" t="s">
        <v>26</v>
      </c>
      <c r="D5" s="6" t="s">
        <v>1</v>
      </c>
      <c r="E5" s="6" t="s">
        <v>21</v>
      </c>
      <c r="F5" s="6" t="s">
        <v>22</v>
      </c>
      <c r="G5" s="6" t="s">
        <v>2</v>
      </c>
      <c r="H5" s="6" t="s">
        <v>132</v>
      </c>
      <c r="I5" s="6" t="s">
        <v>3</v>
      </c>
      <c r="J5" s="6" t="s">
        <v>4</v>
      </c>
      <c r="K5" s="6" t="s">
        <v>5</v>
      </c>
      <c r="L5" s="7" t="s">
        <v>6</v>
      </c>
      <c r="M5" s="7"/>
      <c r="N5" s="6" t="s">
        <v>3</v>
      </c>
      <c r="O5" s="6" t="s">
        <v>4</v>
      </c>
      <c r="P5" s="6" t="s">
        <v>5</v>
      </c>
      <c r="Q5" s="7" t="s">
        <v>6</v>
      </c>
      <c r="R5" s="7" t="s">
        <v>24</v>
      </c>
      <c r="S5" s="6" t="s">
        <v>3</v>
      </c>
      <c r="T5" s="74" t="s">
        <v>7</v>
      </c>
      <c r="U5" s="75"/>
      <c r="V5" s="75"/>
      <c r="W5" s="76"/>
      <c r="X5" s="6" t="s">
        <v>8</v>
      </c>
      <c r="Y5" s="6" t="s">
        <v>9</v>
      </c>
      <c r="Z5" s="77" t="s">
        <v>23</v>
      </c>
      <c r="AA5" s="77" t="s">
        <v>28</v>
      </c>
    </row>
    <row r="6" spans="1:30" s="4" customFormat="1" x14ac:dyDescent="0.45">
      <c r="A6" s="6" t="s">
        <v>10</v>
      </c>
      <c r="B6" s="6"/>
      <c r="C6" s="6"/>
      <c r="D6" s="6"/>
      <c r="E6" s="6"/>
      <c r="F6" s="6"/>
      <c r="G6" s="6" t="s">
        <v>11</v>
      </c>
      <c r="H6" s="6" t="s">
        <v>12</v>
      </c>
      <c r="I6" s="6" t="s">
        <v>12</v>
      </c>
      <c r="J6" s="6" t="s">
        <v>13</v>
      </c>
      <c r="K6" s="6" t="s">
        <v>14</v>
      </c>
      <c r="L6" s="6" t="s">
        <v>14</v>
      </c>
      <c r="M6" s="6"/>
      <c r="N6" s="6" t="s">
        <v>14</v>
      </c>
      <c r="O6" s="6" t="s">
        <v>13</v>
      </c>
      <c r="P6" s="6" t="s">
        <v>14</v>
      </c>
      <c r="Q6" s="6" t="s">
        <v>14</v>
      </c>
      <c r="R6" s="8"/>
      <c r="S6" s="6" t="s">
        <v>14</v>
      </c>
      <c r="T6" s="6" t="s">
        <v>15</v>
      </c>
      <c r="U6" s="6" t="s">
        <v>16</v>
      </c>
      <c r="V6" s="6" t="s">
        <v>17</v>
      </c>
      <c r="W6" s="6" t="s">
        <v>18</v>
      </c>
      <c r="X6" s="6" t="s">
        <v>19</v>
      </c>
      <c r="Y6" s="6" t="s">
        <v>20</v>
      </c>
      <c r="Z6" s="78"/>
      <c r="AA6" s="78"/>
    </row>
    <row r="7" spans="1:30" s="4" customFormat="1" x14ac:dyDescent="0.45">
      <c r="A7" s="6"/>
      <c r="B7" s="6"/>
      <c r="C7" s="6"/>
      <c r="D7" s="2"/>
      <c r="E7" s="2"/>
      <c r="F7" s="2"/>
      <c r="G7" s="65"/>
      <c r="H7" s="2"/>
      <c r="I7" s="67"/>
      <c r="J7" s="2"/>
      <c r="K7" s="2"/>
      <c r="L7" s="2"/>
      <c r="M7" s="2"/>
      <c r="N7" s="2"/>
      <c r="O7" s="2"/>
      <c r="P7" s="2"/>
      <c r="Q7" s="2"/>
      <c r="R7" s="8"/>
      <c r="S7" s="2"/>
      <c r="T7" s="2"/>
      <c r="U7" s="2"/>
      <c r="V7" s="2"/>
      <c r="W7" s="2"/>
      <c r="X7" s="2"/>
      <c r="Y7" s="2"/>
      <c r="Z7" s="26"/>
      <c r="AA7" s="26"/>
      <c r="AB7" s="27"/>
    </row>
    <row r="8" spans="1:30" x14ac:dyDescent="0.45">
      <c r="A8" s="9">
        <f>A7+1</f>
        <v>1</v>
      </c>
      <c r="B8" s="30" t="s">
        <v>27</v>
      </c>
      <c r="C8" s="9" t="s">
        <v>27</v>
      </c>
      <c r="D8" s="33" t="s">
        <v>35</v>
      </c>
      <c r="E8" s="9" t="s">
        <v>43</v>
      </c>
      <c r="F8" s="31" t="s">
        <v>52</v>
      </c>
      <c r="G8" s="57">
        <v>370</v>
      </c>
      <c r="H8" s="70">
        <v>30</v>
      </c>
      <c r="I8" s="56">
        <v>30</v>
      </c>
      <c r="J8" s="5">
        <v>18630</v>
      </c>
      <c r="K8" s="5">
        <v>14904</v>
      </c>
      <c r="L8" s="5">
        <v>3726</v>
      </c>
      <c r="M8" s="10">
        <f t="shared" ref="M8:M41" si="0">J8+K8+L8</f>
        <v>37260</v>
      </c>
      <c r="N8" s="11">
        <f t="shared" ref="N8:N41" si="1">M8</f>
        <v>37260</v>
      </c>
      <c r="O8" s="21">
        <f t="shared" ref="O8:O41" si="2">ROUND(J8/$AB$3*I8,0)</f>
        <v>18630</v>
      </c>
      <c r="P8" s="21">
        <f t="shared" ref="P8:P41" si="3">ROUND(K8/$AB$3*I8,0)</f>
        <v>14904</v>
      </c>
      <c r="Q8" s="21">
        <f t="shared" ref="Q8:Q41" si="4">ROUND(L8/$AB$3*I8,0)</f>
        <v>3726</v>
      </c>
      <c r="R8" s="10"/>
      <c r="S8" s="12">
        <f t="shared" ref="S8:S41" si="5">O8+P8+Q8</f>
        <v>37260</v>
      </c>
      <c r="T8" s="14">
        <f t="shared" ref="T8:T41" si="6">ROUND(IF(J8&gt;15000,(15000/$AB$3*I8)*12%,O8*12%)*1,0)</f>
        <v>1800</v>
      </c>
      <c r="U8" s="23">
        <v>0</v>
      </c>
      <c r="V8" s="28"/>
      <c r="W8" s="15"/>
      <c r="X8" s="12">
        <f t="shared" ref="X8:X41" si="7">T8+U8+V8+W8</f>
        <v>1800</v>
      </c>
      <c r="Y8" s="12">
        <f t="shared" ref="Y8:Y41" si="8">S8-X8</f>
        <v>35460</v>
      </c>
      <c r="Z8" s="13">
        <v>4</v>
      </c>
      <c r="AA8" s="13">
        <v>2.5</v>
      </c>
      <c r="AC8" s="13">
        <v>3</v>
      </c>
      <c r="AD8" s="13">
        <v>2</v>
      </c>
    </row>
    <row r="9" spans="1:30" x14ac:dyDescent="0.45">
      <c r="A9" s="9">
        <f>A8+1</f>
        <v>2</v>
      </c>
      <c r="B9" s="30" t="s">
        <v>27</v>
      </c>
      <c r="C9" s="9" t="s">
        <v>27</v>
      </c>
      <c r="D9" s="33" t="s">
        <v>32</v>
      </c>
      <c r="E9" s="9" t="s">
        <v>40</v>
      </c>
      <c r="F9" s="31" t="s">
        <v>49</v>
      </c>
      <c r="G9" s="57">
        <v>435</v>
      </c>
      <c r="H9" s="70">
        <v>13</v>
      </c>
      <c r="I9" s="68">
        <v>19</v>
      </c>
      <c r="J9" s="5">
        <v>18200</v>
      </c>
      <c r="K9" s="5">
        <v>14560</v>
      </c>
      <c r="L9" s="5">
        <v>3640</v>
      </c>
      <c r="M9" s="10">
        <f t="shared" si="0"/>
        <v>36400</v>
      </c>
      <c r="N9" s="11">
        <f t="shared" si="1"/>
        <v>36400</v>
      </c>
      <c r="O9" s="21">
        <f t="shared" si="2"/>
        <v>11527</v>
      </c>
      <c r="P9" s="21">
        <f t="shared" si="3"/>
        <v>9221</v>
      </c>
      <c r="Q9" s="21">
        <f t="shared" si="4"/>
        <v>2305</v>
      </c>
      <c r="R9" s="10"/>
      <c r="S9" s="12">
        <f t="shared" si="5"/>
        <v>23053</v>
      </c>
      <c r="T9" s="14">
        <f t="shared" si="6"/>
        <v>1140</v>
      </c>
      <c r="U9" s="23">
        <v>0</v>
      </c>
      <c r="V9" s="28"/>
      <c r="W9" s="15"/>
      <c r="X9" s="12">
        <f t="shared" si="7"/>
        <v>1140</v>
      </c>
      <c r="Y9" s="12">
        <f t="shared" si="8"/>
        <v>21913</v>
      </c>
      <c r="Z9" s="13">
        <v>0</v>
      </c>
      <c r="AA9" s="13">
        <v>0</v>
      </c>
      <c r="AC9" s="13">
        <v>3</v>
      </c>
      <c r="AD9" s="13">
        <v>1.5</v>
      </c>
    </row>
    <row r="10" spans="1:30" x14ac:dyDescent="0.45">
      <c r="A10" s="9">
        <f>A9+1</f>
        <v>3</v>
      </c>
      <c r="B10" s="30" t="s">
        <v>27</v>
      </c>
      <c r="C10" s="9" t="s">
        <v>27</v>
      </c>
      <c r="D10" s="33" t="s">
        <v>36</v>
      </c>
      <c r="E10" s="9" t="s">
        <v>44</v>
      </c>
      <c r="F10" s="31" t="s">
        <v>53</v>
      </c>
      <c r="G10" s="57">
        <v>511</v>
      </c>
      <c r="H10" s="70">
        <v>29</v>
      </c>
      <c r="I10" s="69">
        <v>30</v>
      </c>
      <c r="J10" s="5">
        <v>17250</v>
      </c>
      <c r="K10" s="5">
        <v>13800</v>
      </c>
      <c r="L10" s="5">
        <v>3450</v>
      </c>
      <c r="M10" s="10">
        <f t="shared" si="0"/>
        <v>34500</v>
      </c>
      <c r="N10" s="11">
        <f t="shared" si="1"/>
        <v>34500</v>
      </c>
      <c r="O10" s="21">
        <f t="shared" si="2"/>
        <v>17250</v>
      </c>
      <c r="P10" s="21">
        <f t="shared" si="3"/>
        <v>13800</v>
      </c>
      <c r="Q10" s="21">
        <f t="shared" si="4"/>
        <v>3450</v>
      </c>
      <c r="R10" s="10"/>
      <c r="S10" s="12">
        <f t="shared" si="5"/>
        <v>34500</v>
      </c>
      <c r="T10" s="14">
        <f t="shared" si="6"/>
        <v>1800</v>
      </c>
      <c r="U10" s="22">
        <v>0</v>
      </c>
      <c r="V10" s="28">
        <v>10000</v>
      </c>
      <c r="W10" s="15"/>
      <c r="X10" s="12">
        <f t="shared" si="7"/>
        <v>11800</v>
      </c>
      <c r="Y10" s="12">
        <f t="shared" si="8"/>
        <v>22700</v>
      </c>
      <c r="Z10" s="13">
        <v>4</v>
      </c>
      <c r="AA10" s="13">
        <v>1.5</v>
      </c>
      <c r="AC10" s="13">
        <v>3</v>
      </c>
      <c r="AD10" s="13">
        <v>2</v>
      </c>
    </row>
    <row r="11" spans="1:30" x14ac:dyDescent="0.45">
      <c r="A11" s="9">
        <f>A10+1</f>
        <v>4</v>
      </c>
      <c r="B11" s="30" t="s">
        <v>27</v>
      </c>
      <c r="C11" s="9" t="s">
        <v>27</v>
      </c>
      <c r="D11" s="33" t="s">
        <v>31</v>
      </c>
      <c r="E11" s="9" t="s">
        <v>39</v>
      </c>
      <c r="F11" s="31" t="s">
        <v>48</v>
      </c>
      <c r="G11" s="57">
        <v>732</v>
      </c>
      <c r="H11" s="70">
        <v>30</v>
      </c>
      <c r="I11" s="68">
        <v>30</v>
      </c>
      <c r="J11" s="48">
        <v>62500</v>
      </c>
      <c r="K11" s="5">
        <v>50000</v>
      </c>
      <c r="L11" s="5">
        <v>12500</v>
      </c>
      <c r="M11" s="10">
        <f t="shared" si="0"/>
        <v>125000</v>
      </c>
      <c r="N11" s="11">
        <f t="shared" si="1"/>
        <v>125000</v>
      </c>
      <c r="O11" s="21">
        <f t="shared" si="2"/>
        <v>62500</v>
      </c>
      <c r="P11" s="21">
        <f t="shared" si="3"/>
        <v>50000</v>
      </c>
      <c r="Q11" s="21">
        <f t="shared" si="4"/>
        <v>12500</v>
      </c>
      <c r="R11" s="10"/>
      <c r="S11" s="12">
        <f t="shared" si="5"/>
        <v>125000</v>
      </c>
      <c r="T11" s="14">
        <f t="shared" si="6"/>
        <v>1800</v>
      </c>
      <c r="U11" s="22">
        <v>0</v>
      </c>
      <c r="V11" s="28"/>
      <c r="W11" s="15">
        <v>10000</v>
      </c>
      <c r="X11" s="12">
        <f t="shared" si="7"/>
        <v>11800</v>
      </c>
      <c r="Y11" s="12">
        <f t="shared" si="8"/>
        <v>113200</v>
      </c>
      <c r="Z11" s="13">
        <v>3</v>
      </c>
      <c r="AA11" s="13">
        <v>0.5</v>
      </c>
      <c r="AC11" s="13">
        <v>2</v>
      </c>
      <c r="AD11" s="13">
        <v>0</v>
      </c>
    </row>
    <row r="12" spans="1:30" x14ac:dyDescent="0.45">
      <c r="A12" s="9">
        <v>1</v>
      </c>
      <c r="B12" s="30" t="s">
        <v>27</v>
      </c>
      <c r="C12" s="9" t="s">
        <v>27</v>
      </c>
      <c r="D12" s="33" t="s">
        <v>30</v>
      </c>
      <c r="E12" s="9" t="s">
        <v>38</v>
      </c>
      <c r="F12" s="31" t="s">
        <v>47</v>
      </c>
      <c r="G12" s="57">
        <v>734</v>
      </c>
      <c r="H12" s="70">
        <v>28.5</v>
      </c>
      <c r="I12" s="68">
        <v>30</v>
      </c>
      <c r="J12" s="48">
        <v>62500</v>
      </c>
      <c r="K12" s="5">
        <v>50000</v>
      </c>
      <c r="L12" s="5">
        <v>12500</v>
      </c>
      <c r="M12" s="10">
        <f t="shared" si="0"/>
        <v>125000</v>
      </c>
      <c r="N12" s="11">
        <f t="shared" si="1"/>
        <v>125000</v>
      </c>
      <c r="O12" s="21">
        <f t="shared" si="2"/>
        <v>62500</v>
      </c>
      <c r="P12" s="21">
        <f t="shared" si="3"/>
        <v>50000</v>
      </c>
      <c r="Q12" s="21">
        <f t="shared" si="4"/>
        <v>12500</v>
      </c>
      <c r="R12" s="10"/>
      <c r="S12" s="12">
        <f t="shared" si="5"/>
        <v>125000</v>
      </c>
      <c r="T12" s="14">
        <f t="shared" si="6"/>
        <v>1800</v>
      </c>
      <c r="U12" s="22">
        <v>0</v>
      </c>
      <c r="V12" s="29"/>
      <c r="W12" s="15">
        <v>10000</v>
      </c>
      <c r="X12" s="12">
        <f t="shared" si="7"/>
        <v>11800</v>
      </c>
      <c r="Y12" s="12">
        <f t="shared" si="8"/>
        <v>113200</v>
      </c>
      <c r="Z12" s="13">
        <v>2</v>
      </c>
      <c r="AA12" s="13">
        <v>0</v>
      </c>
      <c r="AC12" s="13">
        <v>1</v>
      </c>
      <c r="AD12" s="13">
        <v>1</v>
      </c>
    </row>
    <row r="13" spans="1:30" x14ac:dyDescent="0.45">
      <c r="A13" s="9">
        <f t="shared" ref="A13:A41" si="9">A12+1</f>
        <v>2</v>
      </c>
      <c r="B13" s="30" t="s">
        <v>27</v>
      </c>
      <c r="C13" s="9">
        <v>6725103739</v>
      </c>
      <c r="D13" s="1" t="s">
        <v>34</v>
      </c>
      <c r="E13" s="9" t="s">
        <v>42</v>
      </c>
      <c r="F13" s="31" t="s">
        <v>51</v>
      </c>
      <c r="G13" s="57">
        <v>1171</v>
      </c>
      <c r="H13" s="70">
        <v>0</v>
      </c>
      <c r="I13" s="56">
        <v>0</v>
      </c>
      <c r="J13" s="48">
        <v>13580</v>
      </c>
      <c r="K13" s="5">
        <v>2420</v>
      </c>
      <c r="L13" s="5">
        <v>0</v>
      </c>
      <c r="M13" s="10">
        <f t="shared" si="0"/>
        <v>16000</v>
      </c>
      <c r="N13" s="11">
        <f t="shared" si="1"/>
        <v>16000</v>
      </c>
      <c r="O13" s="21">
        <f t="shared" si="2"/>
        <v>0</v>
      </c>
      <c r="P13" s="21">
        <f t="shared" si="3"/>
        <v>0</v>
      </c>
      <c r="Q13" s="21">
        <f t="shared" si="4"/>
        <v>0</v>
      </c>
      <c r="R13" s="10"/>
      <c r="S13" s="12">
        <f t="shared" si="5"/>
        <v>0</v>
      </c>
      <c r="T13" s="14">
        <f t="shared" si="6"/>
        <v>0</v>
      </c>
      <c r="U13" s="32">
        <f>ROUNDUP(S13*0.75%,0)</f>
        <v>0</v>
      </c>
      <c r="V13" s="28"/>
      <c r="W13" s="15"/>
      <c r="X13" s="12">
        <f t="shared" si="7"/>
        <v>0</v>
      </c>
      <c r="Y13" s="12">
        <f t="shared" si="8"/>
        <v>0</v>
      </c>
      <c r="Z13" s="64">
        <v>2</v>
      </c>
      <c r="AA13" s="64">
        <v>1</v>
      </c>
      <c r="AC13" s="13">
        <v>1</v>
      </c>
      <c r="AD13" s="13">
        <v>0.5</v>
      </c>
    </row>
    <row r="14" spans="1:30" x14ac:dyDescent="0.45">
      <c r="A14" s="9">
        <f t="shared" si="9"/>
        <v>3</v>
      </c>
      <c r="B14" s="30" t="s">
        <v>27</v>
      </c>
      <c r="C14" s="9">
        <v>6725103754</v>
      </c>
      <c r="D14" s="33" t="s">
        <v>33</v>
      </c>
      <c r="E14" s="9" t="s">
        <v>41</v>
      </c>
      <c r="F14" s="31" t="s">
        <v>50</v>
      </c>
      <c r="G14" s="57">
        <v>1178</v>
      </c>
      <c r="H14" s="70">
        <v>29.5</v>
      </c>
      <c r="I14" s="56">
        <v>30</v>
      </c>
      <c r="J14" s="48">
        <v>13580</v>
      </c>
      <c r="K14" s="5">
        <v>8420</v>
      </c>
      <c r="L14" s="5">
        <v>0</v>
      </c>
      <c r="M14" s="10">
        <f t="shared" si="0"/>
        <v>22000</v>
      </c>
      <c r="N14" s="11">
        <f t="shared" si="1"/>
        <v>22000</v>
      </c>
      <c r="O14" s="21">
        <f t="shared" si="2"/>
        <v>13580</v>
      </c>
      <c r="P14" s="21">
        <f t="shared" si="3"/>
        <v>8420</v>
      </c>
      <c r="Q14" s="21">
        <f t="shared" si="4"/>
        <v>0</v>
      </c>
      <c r="R14" s="10"/>
      <c r="S14" s="12">
        <f t="shared" si="5"/>
        <v>22000</v>
      </c>
      <c r="T14" s="14">
        <f t="shared" si="6"/>
        <v>1630</v>
      </c>
      <c r="U14" s="50">
        <v>0</v>
      </c>
      <c r="V14" s="28"/>
      <c r="W14" s="15"/>
      <c r="X14" s="12">
        <f t="shared" si="7"/>
        <v>1630</v>
      </c>
      <c r="Y14" s="12">
        <f t="shared" si="8"/>
        <v>20370</v>
      </c>
      <c r="Z14" s="13">
        <v>4</v>
      </c>
      <c r="AA14" s="13">
        <v>1</v>
      </c>
      <c r="AC14" s="13">
        <v>3</v>
      </c>
      <c r="AD14" s="13">
        <v>1</v>
      </c>
    </row>
    <row r="15" spans="1:30" x14ac:dyDescent="0.45">
      <c r="A15" s="9">
        <f t="shared" si="9"/>
        <v>4</v>
      </c>
      <c r="B15" s="30" t="s">
        <v>27</v>
      </c>
      <c r="C15" s="9">
        <v>2810798600</v>
      </c>
      <c r="D15" s="33" t="s">
        <v>37</v>
      </c>
      <c r="E15" s="9" t="s">
        <v>46</v>
      </c>
      <c r="F15" s="31" t="s">
        <v>55</v>
      </c>
      <c r="G15" s="57">
        <v>1379</v>
      </c>
      <c r="H15" s="70">
        <v>30</v>
      </c>
      <c r="I15" s="56">
        <v>30</v>
      </c>
      <c r="J15" s="48">
        <v>13580</v>
      </c>
      <c r="K15" s="5">
        <v>4420</v>
      </c>
      <c r="L15" s="5">
        <v>0</v>
      </c>
      <c r="M15" s="10">
        <f t="shared" si="0"/>
        <v>18000</v>
      </c>
      <c r="N15" s="11">
        <f t="shared" si="1"/>
        <v>18000</v>
      </c>
      <c r="O15" s="21">
        <f t="shared" si="2"/>
        <v>13580</v>
      </c>
      <c r="P15" s="21">
        <f t="shared" si="3"/>
        <v>4420</v>
      </c>
      <c r="Q15" s="21">
        <f t="shared" si="4"/>
        <v>0</v>
      </c>
      <c r="R15" s="10"/>
      <c r="S15" s="12">
        <f t="shared" si="5"/>
        <v>18000</v>
      </c>
      <c r="T15" s="14">
        <f t="shared" si="6"/>
        <v>1630</v>
      </c>
      <c r="U15" s="32">
        <f t="shared" ref="U15:U27" si="10">ROUNDUP(S15*0.75%,0)</f>
        <v>135</v>
      </c>
      <c r="V15" s="28"/>
      <c r="W15" s="15"/>
      <c r="X15" s="12">
        <f t="shared" si="7"/>
        <v>1765</v>
      </c>
      <c r="Y15" s="12">
        <f t="shared" si="8"/>
        <v>16235</v>
      </c>
      <c r="Z15" s="13">
        <v>4</v>
      </c>
      <c r="AA15" s="13">
        <v>2.5</v>
      </c>
      <c r="AC15" s="13">
        <v>3</v>
      </c>
      <c r="AD15" s="13">
        <v>2</v>
      </c>
    </row>
    <row r="16" spans="1:30" x14ac:dyDescent="0.45">
      <c r="A16" s="9">
        <f t="shared" si="9"/>
        <v>5</v>
      </c>
      <c r="B16" s="30" t="s">
        <v>27</v>
      </c>
      <c r="C16" s="9">
        <v>2810814825</v>
      </c>
      <c r="D16" s="1" t="s">
        <v>58</v>
      </c>
      <c r="E16" s="9" t="s">
        <v>45</v>
      </c>
      <c r="F16" s="31" t="s">
        <v>54</v>
      </c>
      <c r="G16" s="57">
        <v>1458</v>
      </c>
      <c r="H16" s="70">
        <v>29</v>
      </c>
      <c r="I16" s="56">
        <v>30</v>
      </c>
      <c r="J16" s="48">
        <v>13580</v>
      </c>
      <c r="K16" s="5">
        <v>1420</v>
      </c>
      <c r="L16" s="5">
        <v>0</v>
      </c>
      <c r="M16" s="10">
        <f t="shared" si="0"/>
        <v>15000</v>
      </c>
      <c r="N16" s="11">
        <f t="shared" si="1"/>
        <v>15000</v>
      </c>
      <c r="O16" s="21">
        <f t="shared" si="2"/>
        <v>13580</v>
      </c>
      <c r="P16" s="21">
        <f t="shared" si="3"/>
        <v>1420</v>
      </c>
      <c r="Q16" s="21">
        <f t="shared" si="4"/>
        <v>0</v>
      </c>
      <c r="R16" s="10"/>
      <c r="S16" s="12">
        <f t="shared" si="5"/>
        <v>15000</v>
      </c>
      <c r="T16" s="14">
        <f t="shared" si="6"/>
        <v>1630</v>
      </c>
      <c r="U16" s="32">
        <f t="shared" si="10"/>
        <v>113</v>
      </c>
      <c r="V16" s="28"/>
      <c r="W16" s="15"/>
      <c r="X16" s="12">
        <f t="shared" si="7"/>
        <v>1743</v>
      </c>
      <c r="Y16" s="12">
        <f t="shared" si="8"/>
        <v>13257</v>
      </c>
      <c r="Z16" s="13">
        <v>4</v>
      </c>
      <c r="AA16" s="13">
        <v>0</v>
      </c>
      <c r="AC16" s="13">
        <v>3</v>
      </c>
      <c r="AD16" s="13">
        <v>0.5</v>
      </c>
    </row>
    <row r="17" spans="1:30" x14ac:dyDescent="0.45">
      <c r="A17" s="9">
        <f t="shared" si="9"/>
        <v>6</v>
      </c>
      <c r="B17" s="30" t="s">
        <v>27</v>
      </c>
      <c r="C17" s="9">
        <v>2810814738</v>
      </c>
      <c r="D17" s="1" t="s">
        <v>57</v>
      </c>
      <c r="E17" s="9" t="s">
        <v>61</v>
      </c>
      <c r="F17" s="31" t="s">
        <v>62</v>
      </c>
      <c r="G17" s="57">
        <v>1594</v>
      </c>
      <c r="H17" s="70">
        <v>30</v>
      </c>
      <c r="I17" s="56">
        <v>30</v>
      </c>
      <c r="J17" s="48">
        <v>13580</v>
      </c>
      <c r="K17" s="5">
        <v>6420</v>
      </c>
      <c r="L17" s="5">
        <v>0</v>
      </c>
      <c r="M17" s="10">
        <f t="shared" si="0"/>
        <v>20000</v>
      </c>
      <c r="N17" s="11">
        <f t="shared" si="1"/>
        <v>20000</v>
      </c>
      <c r="O17" s="21">
        <f t="shared" si="2"/>
        <v>13580</v>
      </c>
      <c r="P17" s="21">
        <f t="shared" si="3"/>
        <v>6420</v>
      </c>
      <c r="Q17" s="21">
        <f t="shared" si="4"/>
        <v>0</v>
      </c>
      <c r="R17" s="10"/>
      <c r="S17" s="12">
        <f t="shared" si="5"/>
        <v>20000</v>
      </c>
      <c r="T17" s="14">
        <f t="shared" si="6"/>
        <v>1630</v>
      </c>
      <c r="U17" s="32">
        <f t="shared" si="10"/>
        <v>150</v>
      </c>
      <c r="V17" s="28"/>
      <c r="W17" s="15"/>
      <c r="X17" s="12">
        <f t="shared" si="7"/>
        <v>1780</v>
      </c>
      <c r="Y17" s="12">
        <f t="shared" si="8"/>
        <v>18220</v>
      </c>
      <c r="Z17" s="13">
        <v>3</v>
      </c>
      <c r="AA17" s="13">
        <v>2</v>
      </c>
      <c r="AC17" s="13">
        <v>2</v>
      </c>
      <c r="AD17" s="13">
        <v>1.5</v>
      </c>
    </row>
    <row r="18" spans="1:30" x14ac:dyDescent="0.45">
      <c r="A18" s="9">
        <f t="shared" si="9"/>
        <v>7</v>
      </c>
      <c r="B18" s="36" t="s">
        <v>27</v>
      </c>
      <c r="C18" s="35">
        <v>2810814736</v>
      </c>
      <c r="D18" s="37" t="s">
        <v>56</v>
      </c>
      <c r="E18" s="35" t="s">
        <v>59</v>
      </c>
      <c r="F18" s="38" t="s">
        <v>60</v>
      </c>
      <c r="G18" s="58">
        <v>1600</v>
      </c>
      <c r="H18" s="70">
        <v>29</v>
      </c>
      <c r="I18" s="56">
        <v>30</v>
      </c>
      <c r="J18" s="49">
        <v>13580</v>
      </c>
      <c r="K18" s="40">
        <v>6420</v>
      </c>
      <c r="L18" s="40">
        <v>0</v>
      </c>
      <c r="M18" s="41">
        <f t="shared" si="0"/>
        <v>20000</v>
      </c>
      <c r="N18" s="42">
        <f t="shared" si="1"/>
        <v>20000</v>
      </c>
      <c r="O18" s="43">
        <f t="shared" si="2"/>
        <v>13580</v>
      </c>
      <c r="P18" s="43">
        <f t="shared" si="3"/>
        <v>6420</v>
      </c>
      <c r="Q18" s="43">
        <f t="shared" si="4"/>
        <v>0</v>
      </c>
      <c r="R18" s="41"/>
      <c r="S18" s="44">
        <f t="shared" si="5"/>
        <v>20000</v>
      </c>
      <c r="T18" s="45">
        <f t="shared" si="6"/>
        <v>1630</v>
      </c>
      <c r="U18" s="46">
        <f t="shared" si="10"/>
        <v>150</v>
      </c>
      <c r="V18" s="47"/>
      <c r="W18" s="15"/>
      <c r="X18" s="44">
        <f t="shared" si="7"/>
        <v>1780</v>
      </c>
      <c r="Y18" s="44">
        <f t="shared" si="8"/>
        <v>18220</v>
      </c>
      <c r="Z18" s="39">
        <v>3</v>
      </c>
      <c r="AA18" s="39">
        <v>1</v>
      </c>
      <c r="AC18" s="13">
        <v>2</v>
      </c>
      <c r="AD18" s="13">
        <v>1.5</v>
      </c>
    </row>
    <row r="19" spans="1:30" x14ac:dyDescent="0.45">
      <c r="A19" s="9">
        <f t="shared" si="9"/>
        <v>8</v>
      </c>
      <c r="B19" s="36" t="s">
        <v>27</v>
      </c>
      <c r="C19" s="55">
        <v>2810827317</v>
      </c>
      <c r="D19" s="51" t="s">
        <v>65</v>
      </c>
      <c r="E19" s="52" t="s">
        <v>89</v>
      </c>
      <c r="F19" s="54" t="s">
        <v>87</v>
      </c>
      <c r="G19" s="66">
        <v>1808</v>
      </c>
      <c r="H19" s="70">
        <v>30</v>
      </c>
      <c r="I19" s="56">
        <v>30</v>
      </c>
      <c r="J19" s="48">
        <v>13580</v>
      </c>
      <c r="K19" s="5">
        <v>4420</v>
      </c>
      <c r="L19" s="40">
        <v>0</v>
      </c>
      <c r="M19" s="41">
        <f t="shared" si="0"/>
        <v>18000</v>
      </c>
      <c r="N19" s="42">
        <f t="shared" si="1"/>
        <v>18000</v>
      </c>
      <c r="O19" s="21">
        <f t="shared" si="2"/>
        <v>13580</v>
      </c>
      <c r="P19" s="21">
        <f t="shared" si="3"/>
        <v>4420</v>
      </c>
      <c r="Q19" s="43">
        <f t="shared" si="4"/>
        <v>0</v>
      </c>
      <c r="R19" s="10"/>
      <c r="S19" s="44">
        <f t="shared" si="5"/>
        <v>18000</v>
      </c>
      <c r="T19" s="14">
        <f t="shared" si="6"/>
        <v>1630</v>
      </c>
      <c r="U19" s="46">
        <f t="shared" si="10"/>
        <v>135</v>
      </c>
      <c r="V19" s="28"/>
      <c r="W19" s="2"/>
      <c r="X19" s="44">
        <f t="shared" si="7"/>
        <v>1765</v>
      </c>
      <c r="Y19" s="44">
        <f t="shared" si="8"/>
        <v>16235</v>
      </c>
      <c r="Z19" s="13">
        <v>1</v>
      </c>
      <c r="AA19" s="13">
        <v>0.5</v>
      </c>
      <c r="AC19" s="34"/>
      <c r="AD19" s="34"/>
    </row>
    <row r="20" spans="1:30" x14ac:dyDescent="0.45">
      <c r="A20" s="9">
        <f t="shared" si="9"/>
        <v>9</v>
      </c>
      <c r="B20" s="36" t="s">
        <v>27</v>
      </c>
      <c r="C20" s="55">
        <v>2810827318</v>
      </c>
      <c r="D20" s="51" t="s">
        <v>66</v>
      </c>
      <c r="E20" s="52" t="s">
        <v>90</v>
      </c>
      <c r="F20" s="53" t="s">
        <v>111</v>
      </c>
      <c r="G20" s="66">
        <v>1809</v>
      </c>
      <c r="H20" s="70">
        <v>28</v>
      </c>
      <c r="I20" s="56">
        <v>28</v>
      </c>
      <c r="J20" s="48">
        <v>13580</v>
      </c>
      <c r="K20" s="5">
        <v>4420</v>
      </c>
      <c r="L20" s="40">
        <v>0</v>
      </c>
      <c r="M20" s="41">
        <f t="shared" si="0"/>
        <v>18000</v>
      </c>
      <c r="N20" s="42">
        <f t="shared" si="1"/>
        <v>18000</v>
      </c>
      <c r="O20" s="21">
        <f t="shared" si="2"/>
        <v>12675</v>
      </c>
      <c r="P20" s="21">
        <f t="shared" si="3"/>
        <v>4125</v>
      </c>
      <c r="Q20" s="43">
        <f t="shared" si="4"/>
        <v>0</v>
      </c>
      <c r="R20" s="10"/>
      <c r="S20" s="44">
        <f t="shared" si="5"/>
        <v>16800</v>
      </c>
      <c r="T20" s="14">
        <f t="shared" si="6"/>
        <v>1521</v>
      </c>
      <c r="U20" s="46">
        <f t="shared" si="10"/>
        <v>126</v>
      </c>
      <c r="V20" s="28"/>
      <c r="W20" s="2"/>
      <c r="X20" s="44">
        <f t="shared" si="7"/>
        <v>1647</v>
      </c>
      <c r="Y20" s="44">
        <f t="shared" si="8"/>
        <v>15153</v>
      </c>
      <c r="Z20" s="13">
        <v>1</v>
      </c>
      <c r="AA20" s="13">
        <v>0.5</v>
      </c>
      <c r="AC20" s="34"/>
      <c r="AD20" s="34"/>
    </row>
    <row r="21" spans="1:30" x14ac:dyDescent="0.45">
      <c r="A21" s="9">
        <f t="shared" si="9"/>
        <v>10</v>
      </c>
      <c r="B21" s="36" t="s">
        <v>27</v>
      </c>
      <c r="C21" s="55">
        <v>2810827319</v>
      </c>
      <c r="D21" s="51" t="s">
        <v>67</v>
      </c>
      <c r="E21" s="52" t="s">
        <v>91</v>
      </c>
      <c r="F21" s="53" t="s">
        <v>112</v>
      </c>
      <c r="G21" s="66">
        <v>1810</v>
      </c>
      <c r="H21" s="70">
        <v>29</v>
      </c>
      <c r="I21" s="56">
        <v>29</v>
      </c>
      <c r="J21" s="48">
        <v>13580</v>
      </c>
      <c r="K21" s="5">
        <v>1420</v>
      </c>
      <c r="L21" s="40">
        <v>0</v>
      </c>
      <c r="M21" s="41">
        <f t="shared" si="0"/>
        <v>15000</v>
      </c>
      <c r="N21" s="42">
        <f t="shared" si="1"/>
        <v>15000</v>
      </c>
      <c r="O21" s="21">
        <f t="shared" si="2"/>
        <v>13127</v>
      </c>
      <c r="P21" s="21">
        <f t="shared" si="3"/>
        <v>1373</v>
      </c>
      <c r="Q21" s="43">
        <f t="shared" si="4"/>
        <v>0</v>
      </c>
      <c r="R21" s="10"/>
      <c r="S21" s="44">
        <f t="shared" si="5"/>
        <v>14500</v>
      </c>
      <c r="T21" s="14">
        <f t="shared" si="6"/>
        <v>1575</v>
      </c>
      <c r="U21" s="46">
        <f t="shared" si="10"/>
        <v>109</v>
      </c>
      <c r="V21" s="28"/>
      <c r="W21" s="2"/>
      <c r="X21" s="44">
        <f t="shared" si="7"/>
        <v>1684</v>
      </c>
      <c r="Y21" s="44">
        <f t="shared" si="8"/>
        <v>12816</v>
      </c>
      <c r="Z21" s="13">
        <v>1</v>
      </c>
      <c r="AA21" s="13">
        <v>0.5</v>
      </c>
      <c r="AC21" s="34"/>
      <c r="AD21" s="34"/>
    </row>
    <row r="22" spans="1:30" x14ac:dyDescent="0.45">
      <c r="A22" s="9">
        <f t="shared" si="9"/>
        <v>11</v>
      </c>
      <c r="B22" s="36" t="s">
        <v>27</v>
      </c>
      <c r="C22" s="55">
        <v>2810827320</v>
      </c>
      <c r="D22" s="51" t="s">
        <v>68</v>
      </c>
      <c r="E22" s="52" t="s">
        <v>92</v>
      </c>
      <c r="F22" s="53" t="s">
        <v>113</v>
      </c>
      <c r="G22" s="66">
        <v>1811</v>
      </c>
      <c r="H22" s="70">
        <v>30</v>
      </c>
      <c r="I22" s="56">
        <v>30</v>
      </c>
      <c r="J22" s="48">
        <v>13580</v>
      </c>
      <c r="K22" s="5">
        <v>3420</v>
      </c>
      <c r="L22" s="40">
        <v>0</v>
      </c>
      <c r="M22" s="41">
        <f t="shared" si="0"/>
        <v>17000</v>
      </c>
      <c r="N22" s="42">
        <f t="shared" si="1"/>
        <v>17000</v>
      </c>
      <c r="O22" s="21">
        <f t="shared" si="2"/>
        <v>13580</v>
      </c>
      <c r="P22" s="21">
        <f t="shared" si="3"/>
        <v>3420</v>
      </c>
      <c r="Q22" s="43">
        <f t="shared" si="4"/>
        <v>0</v>
      </c>
      <c r="R22" s="10"/>
      <c r="S22" s="44">
        <f t="shared" si="5"/>
        <v>17000</v>
      </c>
      <c r="T22" s="14">
        <f t="shared" si="6"/>
        <v>1630</v>
      </c>
      <c r="U22" s="46">
        <f t="shared" si="10"/>
        <v>128</v>
      </c>
      <c r="V22" s="28"/>
      <c r="W22" s="2"/>
      <c r="X22" s="44">
        <f t="shared" si="7"/>
        <v>1758</v>
      </c>
      <c r="Y22" s="44">
        <f t="shared" si="8"/>
        <v>15242</v>
      </c>
      <c r="Z22" s="13">
        <v>1</v>
      </c>
      <c r="AA22" s="13">
        <v>0.5</v>
      </c>
      <c r="AC22" s="34"/>
      <c r="AD22" s="34"/>
    </row>
    <row r="23" spans="1:30" x14ac:dyDescent="0.45">
      <c r="A23" s="9">
        <f t="shared" si="9"/>
        <v>12</v>
      </c>
      <c r="B23" s="36" t="s">
        <v>27</v>
      </c>
      <c r="C23" s="55">
        <v>2810827322</v>
      </c>
      <c r="D23" s="51" t="s">
        <v>70</v>
      </c>
      <c r="E23" s="52" t="s">
        <v>94</v>
      </c>
      <c r="F23" s="53" t="s">
        <v>115</v>
      </c>
      <c r="G23" s="66">
        <v>1812</v>
      </c>
      <c r="H23" s="70">
        <v>30</v>
      </c>
      <c r="I23" s="56">
        <v>30</v>
      </c>
      <c r="J23" s="48">
        <v>13580</v>
      </c>
      <c r="K23" s="5">
        <v>4420</v>
      </c>
      <c r="L23" s="40">
        <v>0</v>
      </c>
      <c r="M23" s="41">
        <f t="shared" si="0"/>
        <v>18000</v>
      </c>
      <c r="N23" s="42">
        <f t="shared" si="1"/>
        <v>18000</v>
      </c>
      <c r="O23" s="21">
        <f t="shared" si="2"/>
        <v>13580</v>
      </c>
      <c r="P23" s="21">
        <f t="shared" si="3"/>
        <v>4420</v>
      </c>
      <c r="Q23" s="43">
        <f t="shared" si="4"/>
        <v>0</v>
      </c>
      <c r="R23" s="10"/>
      <c r="S23" s="44">
        <f t="shared" si="5"/>
        <v>18000</v>
      </c>
      <c r="T23" s="14">
        <f t="shared" si="6"/>
        <v>1630</v>
      </c>
      <c r="U23" s="46">
        <f t="shared" si="10"/>
        <v>135</v>
      </c>
      <c r="V23" s="28"/>
      <c r="W23" s="2"/>
      <c r="X23" s="44">
        <f t="shared" si="7"/>
        <v>1765</v>
      </c>
      <c r="Y23" s="44">
        <f t="shared" si="8"/>
        <v>16235</v>
      </c>
      <c r="Z23" s="13">
        <v>1</v>
      </c>
      <c r="AA23" s="13">
        <v>0.5</v>
      </c>
      <c r="AC23" s="34"/>
      <c r="AD23" s="34"/>
    </row>
    <row r="24" spans="1:30" x14ac:dyDescent="0.45">
      <c r="A24" s="9">
        <f t="shared" si="9"/>
        <v>13</v>
      </c>
      <c r="B24" s="36" t="s">
        <v>27</v>
      </c>
      <c r="C24" s="55">
        <v>2810827323</v>
      </c>
      <c r="D24" s="51" t="s">
        <v>71</v>
      </c>
      <c r="E24" s="52" t="s">
        <v>95</v>
      </c>
      <c r="F24" s="53" t="s">
        <v>116</v>
      </c>
      <c r="G24" s="66">
        <v>1813</v>
      </c>
      <c r="H24" s="70">
        <v>29.5</v>
      </c>
      <c r="I24" s="56">
        <v>29.5</v>
      </c>
      <c r="J24" s="48">
        <v>13580</v>
      </c>
      <c r="K24" s="5">
        <v>3420</v>
      </c>
      <c r="L24" s="40">
        <v>0</v>
      </c>
      <c r="M24" s="41">
        <f t="shared" si="0"/>
        <v>17000</v>
      </c>
      <c r="N24" s="42">
        <f t="shared" si="1"/>
        <v>17000</v>
      </c>
      <c r="O24" s="21">
        <f t="shared" si="2"/>
        <v>13354</v>
      </c>
      <c r="P24" s="21">
        <f t="shared" si="3"/>
        <v>3363</v>
      </c>
      <c r="Q24" s="43">
        <f t="shared" si="4"/>
        <v>0</v>
      </c>
      <c r="R24" s="10"/>
      <c r="S24" s="44">
        <f t="shared" si="5"/>
        <v>16717</v>
      </c>
      <c r="T24" s="14">
        <f t="shared" si="6"/>
        <v>1602</v>
      </c>
      <c r="U24" s="46">
        <f t="shared" si="10"/>
        <v>126</v>
      </c>
      <c r="V24" s="28"/>
      <c r="W24" s="2"/>
      <c r="X24" s="44">
        <f t="shared" si="7"/>
        <v>1728</v>
      </c>
      <c r="Y24" s="44">
        <f t="shared" si="8"/>
        <v>14989</v>
      </c>
      <c r="Z24" s="13">
        <v>1</v>
      </c>
      <c r="AA24" s="13">
        <v>0.5</v>
      </c>
      <c r="AC24" s="34"/>
      <c r="AD24" s="34"/>
    </row>
    <row r="25" spans="1:30" x14ac:dyDescent="0.45">
      <c r="A25" s="9">
        <f t="shared" si="9"/>
        <v>14</v>
      </c>
      <c r="B25" s="36" t="s">
        <v>27</v>
      </c>
      <c r="C25" s="55">
        <v>2810827324</v>
      </c>
      <c r="D25" s="51" t="s">
        <v>72</v>
      </c>
      <c r="E25" s="52" t="s">
        <v>96</v>
      </c>
      <c r="F25" s="53" t="s">
        <v>117</v>
      </c>
      <c r="G25" s="66">
        <v>1814</v>
      </c>
      <c r="H25" s="70">
        <v>28</v>
      </c>
      <c r="I25" s="56">
        <v>28</v>
      </c>
      <c r="J25" s="48">
        <v>13580</v>
      </c>
      <c r="K25" s="5">
        <v>3420</v>
      </c>
      <c r="L25" s="40">
        <v>0</v>
      </c>
      <c r="M25" s="41">
        <f t="shared" si="0"/>
        <v>17000</v>
      </c>
      <c r="N25" s="42">
        <f t="shared" si="1"/>
        <v>17000</v>
      </c>
      <c r="O25" s="21">
        <f t="shared" si="2"/>
        <v>12675</v>
      </c>
      <c r="P25" s="21">
        <f t="shared" si="3"/>
        <v>3192</v>
      </c>
      <c r="Q25" s="43">
        <f t="shared" si="4"/>
        <v>0</v>
      </c>
      <c r="R25" s="10"/>
      <c r="S25" s="44">
        <f t="shared" si="5"/>
        <v>15867</v>
      </c>
      <c r="T25" s="14">
        <f t="shared" si="6"/>
        <v>1521</v>
      </c>
      <c r="U25" s="46">
        <f t="shared" si="10"/>
        <v>120</v>
      </c>
      <c r="V25" s="28"/>
      <c r="W25" s="2"/>
      <c r="X25" s="44">
        <f t="shared" si="7"/>
        <v>1641</v>
      </c>
      <c r="Y25" s="44">
        <f t="shared" si="8"/>
        <v>14226</v>
      </c>
      <c r="Z25" s="13">
        <v>1</v>
      </c>
      <c r="AA25" s="13">
        <v>0.5</v>
      </c>
      <c r="AC25" s="34"/>
      <c r="AD25" s="34"/>
    </row>
    <row r="26" spans="1:30" x14ac:dyDescent="0.45">
      <c r="A26" s="9">
        <f t="shared" si="9"/>
        <v>15</v>
      </c>
      <c r="B26" s="36" t="s">
        <v>27</v>
      </c>
      <c r="C26" s="55">
        <v>2810827325</v>
      </c>
      <c r="D26" s="51" t="s">
        <v>70</v>
      </c>
      <c r="E26" s="52" t="s">
        <v>97</v>
      </c>
      <c r="F26" s="53" t="s">
        <v>118</v>
      </c>
      <c r="G26" s="66">
        <v>1815</v>
      </c>
      <c r="H26" s="70">
        <v>30</v>
      </c>
      <c r="I26" s="56">
        <v>30</v>
      </c>
      <c r="J26" s="48">
        <v>13580</v>
      </c>
      <c r="K26" s="5">
        <v>4420</v>
      </c>
      <c r="L26" s="40">
        <v>0</v>
      </c>
      <c r="M26" s="41">
        <f t="shared" si="0"/>
        <v>18000</v>
      </c>
      <c r="N26" s="42">
        <f t="shared" si="1"/>
        <v>18000</v>
      </c>
      <c r="O26" s="21">
        <f t="shared" si="2"/>
        <v>13580</v>
      </c>
      <c r="P26" s="21">
        <f t="shared" si="3"/>
        <v>4420</v>
      </c>
      <c r="Q26" s="43">
        <f t="shared" si="4"/>
        <v>0</v>
      </c>
      <c r="R26" s="10"/>
      <c r="S26" s="44">
        <f t="shared" si="5"/>
        <v>18000</v>
      </c>
      <c r="T26" s="14">
        <f t="shared" si="6"/>
        <v>1630</v>
      </c>
      <c r="U26" s="46">
        <f t="shared" si="10"/>
        <v>135</v>
      </c>
      <c r="V26" s="28"/>
      <c r="W26" s="2"/>
      <c r="X26" s="44">
        <f t="shared" si="7"/>
        <v>1765</v>
      </c>
      <c r="Y26" s="44">
        <f t="shared" si="8"/>
        <v>16235</v>
      </c>
      <c r="Z26" s="13">
        <v>1</v>
      </c>
      <c r="AA26" s="13">
        <v>0.5</v>
      </c>
      <c r="AC26" s="34"/>
      <c r="AD26" s="34"/>
    </row>
    <row r="27" spans="1:30" x14ac:dyDescent="0.45">
      <c r="A27" s="9">
        <f t="shared" si="9"/>
        <v>16</v>
      </c>
      <c r="B27" s="36" t="s">
        <v>27</v>
      </c>
      <c r="C27" s="55">
        <v>2810827326</v>
      </c>
      <c r="D27" s="51" t="s">
        <v>73</v>
      </c>
      <c r="E27" s="52" t="s">
        <v>98</v>
      </c>
      <c r="F27" s="53" t="s">
        <v>119</v>
      </c>
      <c r="G27" s="66">
        <v>1816</v>
      </c>
      <c r="H27" s="70">
        <v>30</v>
      </c>
      <c r="I27" s="56">
        <v>30</v>
      </c>
      <c r="J27" s="48">
        <v>13580</v>
      </c>
      <c r="K27" s="5">
        <v>3420</v>
      </c>
      <c r="L27" s="40">
        <v>0</v>
      </c>
      <c r="M27" s="41">
        <f t="shared" si="0"/>
        <v>17000</v>
      </c>
      <c r="N27" s="42">
        <f t="shared" si="1"/>
        <v>17000</v>
      </c>
      <c r="O27" s="21">
        <f t="shared" si="2"/>
        <v>13580</v>
      </c>
      <c r="P27" s="21">
        <f t="shared" si="3"/>
        <v>3420</v>
      </c>
      <c r="Q27" s="43">
        <f t="shared" si="4"/>
        <v>0</v>
      </c>
      <c r="R27" s="10"/>
      <c r="S27" s="44">
        <f t="shared" si="5"/>
        <v>17000</v>
      </c>
      <c r="T27" s="14">
        <f t="shared" si="6"/>
        <v>1630</v>
      </c>
      <c r="U27" s="46">
        <f t="shared" si="10"/>
        <v>128</v>
      </c>
      <c r="V27" s="28"/>
      <c r="W27" s="2"/>
      <c r="X27" s="44">
        <f t="shared" si="7"/>
        <v>1758</v>
      </c>
      <c r="Y27" s="44">
        <f t="shared" si="8"/>
        <v>15242</v>
      </c>
      <c r="Z27" s="13">
        <v>1</v>
      </c>
      <c r="AA27" s="13">
        <v>0.5</v>
      </c>
      <c r="AC27" s="34"/>
      <c r="AD27" s="34"/>
    </row>
    <row r="28" spans="1:30" x14ac:dyDescent="0.45">
      <c r="A28" s="9">
        <f t="shared" si="9"/>
        <v>17</v>
      </c>
      <c r="B28" s="36" t="s">
        <v>27</v>
      </c>
      <c r="C28" s="63" t="s">
        <v>27</v>
      </c>
      <c r="D28" s="51" t="s">
        <v>74</v>
      </c>
      <c r="E28" s="52" t="s">
        <v>99</v>
      </c>
      <c r="F28" s="53" t="s">
        <v>120</v>
      </c>
      <c r="G28" s="66">
        <v>1817</v>
      </c>
      <c r="H28" s="70">
        <v>30</v>
      </c>
      <c r="I28" s="56">
        <v>30</v>
      </c>
      <c r="J28" s="48">
        <v>13580</v>
      </c>
      <c r="K28" s="5">
        <v>8420</v>
      </c>
      <c r="L28" s="40">
        <v>0</v>
      </c>
      <c r="M28" s="41">
        <f t="shared" si="0"/>
        <v>22000</v>
      </c>
      <c r="N28" s="42">
        <f t="shared" si="1"/>
        <v>22000</v>
      </c>
      <c r="O28" s="21">
        <f t="shared" si="2"/>
        <v>13580</v>
      </c>
      <c r="P28" s="21">
        <f t="shared" si="3"/>
        <v>8420</v>
      </c>
      <c r="Q28" s="43">
        <f t="shared" si="4"/>
        <v>0</v>
      </c>
      <c r="R28" s="10"/>
      <c r="S28" s="44">
        <f t="shared" si="5"/>
        <v>22000</v>
      </c>
      <c r="T28" s="14">
        <f t="shared" si="6"/>
        <v>1630</v>
      </c>
      <c r="U28" s="23">
        <v>0</v>
      </c>
      <c r="V28" s="28"/>
      <c r="W28" s="2"/>
      <c r="X28" s="44">
        <f t="shared" si="7"/>
        <v>1630</v>
      </c>
      <c r="Y28" s="44">
        <f t="shared" si="8"/>
        <v>20370</v>
      </c>
      <c r="Z28" s="13">
        <v>1</v>
      </c>
      <c r="AA28" s="13">
        <v>0.5</v>
      </c>
      <c r="AC28" s="34"/>
      <c r="AD28" s="34"/>
    </row>
    <row r="29" spans="1:30" x14ac:dyDescent="0.45">
      <c r="A29" s="9">
        <f t="shared" si="9"/>
        <v>18</v>
      </c>
      <c r="B29" s="36" t="s">
        <v>27</v>
      </c>
      <c r="C29" s="55">
        <v>2810827327</v>
      </c>
      <c r="D29" s="51" t="s">
        <v>75</v>
      </c>
      <c r="E29" s="52" t="s">
        <v>100</v>
      </c>
      <c r="F29" s="53" t="s">
        <v>121</v>
      </c>
      <c r="G29" s="66">
        <v>1818</v>
      </c>
      <c r="H29" s="70">
        <v>28</v>
      </c>
      <c r="I29" s="56">
        <v>28</v>
      </c>
      <c r="J29" s="48">
        <v>13580</v>
      </c>
      <c r="K29" s="5">
        <v>3420</v>
      </c>
      <c r="L29" s="40">
        <v>0</v>
      </c>
      <c r="M29" s="41">
        <f t="shared" si="0"/>
        <v>17000</v>
      </c>
      <c r="N29" s="42">
        <f t="shared" si="1"/>
        <v>17000</v>
      </c>
      <c r="O29" s="21">
        <f t="shared" si="2"/>
        <v>12675</v>
      </c>
      <c r="P29" s="21">
        <f t="shared" si="3"/>
        <v>3192</v>
      </c>
      <c r="Q29" s="43">
        <f t="shared" si="4"/>
        <v>0</v>
      </c>
      <c r="R29" s="10"/>
      <c r="S29" s="44">
        <f t="shared" si="5"/>
        <v>15867</v>
      </c>
      <c r="T29" s="14">
        <f t="shared" si="6"/>
        <v>1521</v>
      </c>
      <c r="U29" s="46">
        <f t="shared" ref="U29:U41" si="11">ROUNDUP(S29*0.75%,0)</f>
        <v>120</v>
      </c>
      <c r="V29" s="28"/>
      <c r="W29" s="2"/>
      <c r="X29" s="44">
        <f t="shared" si="7"/>
        <v>1641</v>
      </c>
      <c r="Y29" s="44">
        <f t="shared" si="8"/>
        <v>14226</v>
      </c>
      <c r="Z29" s="13">
        <v>1</v>
      </c>
      <c r="AA29" s="13">
        <v>0.5</v>
      </c>
      <c r="AC29" s="34"/>
      <c r="AD29" s="34"/>
    </row>
    <row r="30" spans="1:30" x14ac:dyDescent="0.45">
      <c r="A30" s="9">
        <f t="shared" si="9"/>
        <v>19</v>
      </c>
      <c r="B30" s="36" t="s">
        <v>27</v>
      </c>
      <c r="C30" s="52">
        <v>2810827328</v>
      </c>
      <c r="D30" s="51" t="s">
        <v>76</v>
      </c>
      <c r="E30" s="52" t="s">
        <v>101</v>
      </c>
      <c r="F30" s="53" t="s">
        <v>122</v>
      </c>
      <c r="G30" s="66">
        <v>1819</v>
      </c>
      <c r="H30" s="70">
        <v>30</v>
      </c>
      <c r="I30" s="56">
        <v>30</v>
      </c>
      <c r="J30" s="48">
        <v>13580</v>
      </c>
      <c r="K30" s="5">
        <v>4420</v>
      </c>
      <c r="L30" s="40">
        <v>0</v>
      </c>
      <c r="M30" s="41">
        <f t="shared" si="0"/>
        <v>18000</v>
      </c>
      <c r="N30" s="42">
        <f t="shared" si="1"/>
        <v>18000</v>
      </c>
      <c r="O30" s="21">
        <f t="shared" si="2"/>
        <v>13580</v>
      </c>
      <c r="P30" s="21">
        <f t="shared" si="3"/>
        <v>4420</v>
      </c>
      <c r="Q30" s="43">
        <f t="shared" si="4"/>
        <v>0</v>
      </c>
      <c r="R30" s="10"/>
      <c r="S30" s="44">
        <f t="shared" si="5"/>
        <v>18000</v>
      </c>
      <c r="T30" s="14">
        <f t="shared" si="6"/>
        <v>1630</v>
      </c>
      <c r="U30" s="46">
        <f t="shared" si="11"/>
        <v>135</v>
      </c>
      <c r="V30" s="28"/>
      <c r="W30" s="2"/>
      <c r="X30" s="44">
        <f t="shared" si="7"/>
        <v>1765</v>
      </c>
      <c r="Y30" s="44">
        <f t="shared" si="8"/>
        <v>16235</v>
      </c>
      <c r="Z30" s="13">
        <v>1</v>
      </c>
      <c r="AA30" s="13">
        <v>0.5</v>
      </c>
      <c r="AC30" s="34"/>
      <c r="AD30" s="34"/>
    </row>
    <row r="31" spans="1:30" x14ac:dyDescent="0.45">
      <c r="A31" s="9">
        <f t="shared" si="9"/>
        <v>20</v>
      </c>
      <c r="B31" s="36" t="s">
        <v>27</v>
      </c>
      <c r="C31" s="55">
        <v>2810827332</v>
      </c>
      <c r="D31" s="51" t="s">
        <v>77</v>
      </c>
      <c r="E31" s="52" t="s">
        <v>102</v>
      </c>
      <c r="F31" s="53" t="s">
        <v>123</v>
      </c>
      <c r="G31" s="66">
        <v>1820</v>
      </c>
      <c r="H31" s="70">
        <v>30</v>
      </c>
      <c r="I31" s="56">
        <v>30</v>
      </c>
      <c r="J31" s="48">
        <v>13580</v>
      </c>
      <c r="K31" s="5">
        <v>3420</v>
      </c>
      <c r="L31" s="40">
        <v>0</v>
      </c>
      <c r="M31" s="41">
        <f t="shared" si="0"/>
        <v>17000</v>
      </c>
      <c r="N31" s="42">
        <f t="shared" si="1"/>
        <v>17000</v>
      </c>
      <c r="O31" s="21">
        <f t="shared" si="2"/>
        <v>13580</v>
      </c>
      <c r="P31" s="21">
        <f t="shared" si="3"/>
        <v>3420</v>
      </c>
      <c r="Q31" s="43">
        <f t="shared" si="4"/>
        <v>0</v>
      </c>
      <c r="R31" s="10"/>
      <c r="S31" s="44">
        <f t="shared" si="5"/>
        <v>17000</v>
      </c>
      <c r="T31" s="14">
        <f t="shared" si="6"/>
        <v>1630</v>
      </c>
      <c r="U31" s="46">
        <f t="shared" si="11"/>
        <v>128</v>
      </c>
      <c r="V31" s="28"/>
      <c r="W31" s="2"/>
      <c r="X31" s="44">
        <f t="shared" si="7"/>
        <v>1758</v>
      </c>
      <c r="Y31" s="44">
        <f t="shared" si="8"/>
        <v>15242</v>
      </c>
      <c r="Z31" s="13">
        <v>1</v>
      </c>
      <c r="AA31" s="13">
        <v>0.5</v>
      </c>
      <c r="AC31" s="34"/>
      <c r="AD31" s="34"/>
    </row>
    <row r="32" spans="1:30" x14ac:dyDescent="0.45">
      <c r="A32" s="9">
        <f t="shared" si="9"/>
        <v>21</v>
      </c>
      <c r="B32" s="36" t="s">
        <v>27</v>
      </c>
      <c r="C32" s="55">
        <v>2810827341</v>
      </c>
      <c r="D32" s="51" t="s">
        <v>79</v>
      </c>
      <c r="E32" s="52" t="s">
        <v>104</v>
      </c>
      <c r="F32" s="53" t="s">
        <v>125</v>
      </c>
      <c r="G32" s="66">
        <v>1821</v>
      </c>
      <c r="H32" s="70">
        <v>30</v>
      </c>
      <c r="I32" s="56">
        <v>30</v>
      </c>
      <c r="J32" s="48">
        <v>13580</v>
      </c>
      <c r="K32" s="5">
        <v>3420</v>
      </c>
      <c r="L32" s="40">
        <v>0</v>
      </c>
      <c r="M32" s="41">
        <f t="shared" si="0"/>
        <v>17000</v>
      </c>
      <c r="N32" s="42">
        <f t="shared" si="1"/>
        <v>17000</v>
      </c>
      <c r="O32" s="21">
        <f t="shared" si="2"/>
        <v>13580</v>
      </c>
      <c r="P32" s="21">
        <f t="shared" si="3"/>
        <v>3420</v>
      </c>
      <c r="Q32" s="43">
        <f t="shared" si="4"/>
        <v>0</v>
      </c>
      <c r="R32" s="10"/>
      <c r="S32" s="44">
        <f t="shared" si="5"/>
        <v>17000</v>
      </c>
      <c r="T32" s="14">
        <f t="shared" si="6"/>
        <v>1630</v>
      </c>
      <c r="U32" s="46">
        <f t="shared" si="11"/>
        <v>128</v>
      </c>
      <c r="V32" s="28"/>
      <c r="W32" s="2"/>
      <c r="X32" s="44">
        <f t="shared" si="7"/>
        <v>1758</v>
      </c>
      <c r="Y32" s="44">
        <f t="shared" si="8"/>
        <v>15242</v>
      </c>
      <c r="Z32" s="13">
        <v>1</v>
      </c>
      <c r="AA32" s="13">
        <v>0.5</v>
      </c>
      <c r="AC32" s="34"/>
      <c r="AD32" s="34"/>
    </row>
    <row r="33" spans="1:30" x14ac:dyDescent="0.45">
      <c r="A33" s="9">
        <f t="shared" si="9"/>
        <v>22</v>
      </c>
      <c r="B33" s="36" t="s">
        <v>27</v>
      </c>
      <c r="C33" s="55">
        <v>2810827336</v>
      </c>
      <c r="D33" s="51" t="s">
        <v>80</v>
      </c>
      <c r="E33" s="52" t="s">
        <v>105</v>
      </c>
      <c r="F33" s="53" t="s">
        <v>126</v>
      </c>
      <c r="G33" s="66">
        <v>1822</v>
      </c>
      <c r="H33" s="70">
        <v>30</v>
      </c>
      <c r="I33" s="56">
        <v>30</v>
      </c>
      <c r="J33" s="48">
        <v>13580</v>
      </c>
      <c r="K33" s="5">
        <v>1420</v>
      </c>
      <c r="L33" s="40">
        <v>0</v>
      </c>
      <c r="M33" s="41">
        <f t="shared" si="0"/>
        <v>15000</v>
      </c>
      <c r="N33" s="42">
        <f t="shared" si="1"/>
        <v>15000</v>
      </c>
      <c r="O33" s="21">
        <f t="shared" si="2"/>
        <v>13580</v>
      </c>
      <c r="P33" s="21">
        <f t="shared" si="3"/>
        <v>1420</v>
      </c>
      <c r="Q33" s="43">
        <f t="shared" si="4"/>
        <v>0</v>
      </c>
      <c r="R33" s="10"/>
      <c r="S33" s="44">
        <f t="shared" si="5"/>
        <v>15000</v>
      </c>
      <c r="T33" s="14">
        <f t="shared" si="6"/>
        <v>1630</v>
      </c>
      <c r="U33" s="46">
        <f t="shared" si="11"/>
        <v>113</v>
      </c>
      <c r="V33" s="28"/>
      <c r="W33" s="2"/>
      <c r="X33" s="44">
        <f t="shared" si="7"/>
        <v>1743</v>
      </c>
      <c r="Y33" s="44">
        <f t="shared" si="8"/>
        <v>13257</v>
      </c>
      <c r="Z33" s="13">
        <v>1</v>
      </c>
      <c r="AA33" s="13">
        <v>0.5</v>
      </c>
      <c r="AC33" s="34"/>
      <c r="AD33" s="34"/>
    </row>
    <row r="34" spans="1:30" x14ac:dyDescent="0.45">
      <c r="A34" s="9">
        <f t="shared" si="9"/>
        <v>23</v>
      </c>
      <c r="B34" s="36" t="s">
        <v>27</v>
      </c>
      <c r="C34" s="55">
        <v>2810827558</v>
      </c>
      <c r="D34" s="51" t="s">
        <v>82</v>
      </c>
      <c r="E34" s="52" t="s">
        <v>107</v>
      </c>
      <c r="F34" s="53" t="s">
        <v>128</v>
      </c>
      <c r="G34" s="66">
        <v>1823</v>
      </c>
      <c r="H34" s="70">
        <v>30</v>
      </c>
      <c r="I34" s="56">
        <v>30</v>
      </c>
      <c r="J34" s="48">
        <v>13580</v>
      </c>
      <c r="K34" s="5">
        <v>2420</v>
      </c>
      <c r="L34" s="40">
        <v>0</v>
      </c>
      <c r="M34" s="41">
        <f t="shared" si="0"/>
        <v>16000</v>
      </c>
      <c r="N34" s="42">
        <f t="shared" si="1"/>
        <v>16000</v>
      </c>
      <c r="O34" s="21">
        <f t="shared" si="2"/>
        <v>13580</v>
      </c>
      <c r="P34" s="21">
        <f t="shared" si="3"/>
        <v>2420</v>
      </c>
      <c r="Q34" s="43">
        <f t="shared" si="4"/>
        <v>0</v>
      </c>
      <c r="R34" s="10"/>
      <c r="S34" s="44">
        <f t="shared" si="5"/>
        <v>16000</v>
      </c>
      <c r="T34" s="14">
        <f t="shared" si="6"/>
        <v>1630</v>
      </c>
      <c r="U34" s="46">
        <f t="shared" si="11"/>
        <v>120</v>
      </c>
      <c r="V34" s="28"/>
      <c r="W34" s="2"/>
      <c r="X34" s="44">
        <f t="shared" si="7"/>
        <v>1750</v>
      </c>
      <c r="Y34" s="44">
        <f t="shared" si="8"/>
        <v>14250</v>
      </c>
      <c r="Z34" s="13">
        <v>1</v>
      </c>
      <c r="AA34" s="13">
        <v>0.5</v>
      </c>
      <c r="AC34" s="34"/>
      <c r="AD34" s="34"/>
    </row>
    <row r="35" spans="1:30" x14ac:dyDescent="0.45">
      <c r="A35" s="9">
        <f t="shared" si="9"/>
        <v>24</v>
      </c>
      <c r="B35" s="36" t="s">
        <v>27</v>
      </c>
      <c r="C35" s="55">
        <v>2810827566</v>
      </c>
      <c r="D35" s="51" t="s">
        <v>83</v>
      </c>
      <c r="E35" s="52" t="s">
        <v>108</v>
      </c>
      <c r="F35" s="53" t="s">
        <v>129</v>
      </c>
      <c r="G35" s="66">
        <v>1824</v>
      </c>
      <c r="H35" s="70">
        <v>30</v>
      </c>
      <c r="I35" s="56">
        <v>30</v>
      </c>
      <c r="J35" s="48">
        <v>13580</v>
      </c>
      <c r="K35" s="5">
        <v>5420</v>
      </c>
      <c r="L35" s="40">
        <v>0</v>
      </c>
      <c r="M35" s="41">
        <f t="shared" si="0"/>
        <v>19000</v>
      </c>
      <c r="N35" s="42">
        <f t="shared" si="1"/>
        <v>19000</v>
      </c>
      <c r="O35" s="21">
        <f t="shared" si="2"/>
        <v>13580</v>
      </c>
      <c r="P35" s="21">
        <f t="shared" si="3"/>
        <v>5420</v>
      </c>
      <c r="Q35" s="43">
        <f t="shared" si="4"/>
        <v>0</v>
      </c>
      <c r="R35" s="10"/>
      <c r="S35" s="44">
        <f t="shared" si="5"/>
        <v>19000</v>
      </c>
      <c r="T35" s="14">
        <f t="shared" si="6"/>
        <v>1630</v>
      </c>
      <c r="U35" s="46">
        <f t="shared" si="11"/>
        <v>143</v>
      </c>
      <c r="V35" s="28"/>
      <c r="W35" s="2"/>
      <c r="X35" s="44">
        <f t="shared" si="7"/>
        <v>1773</v>
      </c>
      <c r="Y35" s="44">
        <f t="shared" si="8"/>
        <v>17227</v>
      </c>
      <c r="Z35" s="13">
        <v>1</v>
      </c>
      <c r="AA35" s="13">
        <v>0.5</v>
      </c>
      <c r="AC35" s="34"/>
      <c r="AD35" s="34"/>
    </row>
    <row r="36" spans="1:30" x14ac:dyDescent="0.45">
      <c r="A36" s="9">
        <f t="shared" si="9"/>
        <v>25</v>
      </c>
      <c r="B36" s="36" t="s">
        <v>27</v>
      </c>
      <c r="C36" s="55">
        <v>2810827571</v>
      </c>
      <c r="D36" s="51" t="s">
        <v>85</v>
      </c>
      <c r="E36" s="52" t="s">
        <v>110</v>
      </c>
      <c r="F36" s="53" t="s">
        <v>131</v>
      </c>
      <c r="G36" s="66">
        <v>1825</v>
      </c>
      <c r="H36" s="70">
        <v>25</v>
      </c>
      <c r="I36" s="56">
        <v>25</v>
      </c>
      <c r="J36" s="48">
        <v>13580</v>
      </c>
      <c r="K36" s="5">
        <v>1420</v>
      </c>
      <c r="L36" s="40">
        <v>0</v>
      </c>
      <c r="M36" s="41">
        <f t="shared" si="0"/>
        <v>15000</v>
      </c>
      <c r="N36" s="42">
        <f t="shared" si="1"/>
        <v>15000</v>
      </c>
      <c r="O36" s="21">
        <f t="shared" si="2"/>
        <v>11317</v>
      </c>
      <c r="P36" s="21">
        <f t="shared" si="3"/>
        <v>1183</v>
      </c>
      <c r="Q36" s="43">
        <f t="shared" si="4"/>
        <v>0</v>
      </c>
      <c r="R36" s="10"/>
      <c r="S36" s="44">
        <f t="shared" si="5"/>
        <v>12500</v>
      </c>
      <c r="T36" s="14">
        <f t="shared" si="6"/>
        <v>1358</v>
      </c>
      <c r="U36" s="46">
        <f t="shared" si="11"/>
        <v>94</v>
      </c>
      <c r="V36" s="28"/>
      <c r="W36" s="2"/>
      <c r="X36" s="44">
        <f t="shared" si="7"/>
        <v>1452</v>
      </c>
      <c r="Y36" s="44">
        <f t="shared" si="8"/>
        <v>11048</v>
      </c>
      <c r="Z36" s="13">
        <v>1</v>
      </c>
      <c r="AA36" s="13">
        <v>0.5</v>
      </c>
      <c r="AC36" s="34"/>
      <c r="AD36" s="34"/>
    </row>
    <row r="37" spans="1:30" x14ac:dyDescent="0.45">
      <c r="A37" s="9">
        <f t="shared" si="9"/>
        <v>26</v>
      </c>
      <c r="B37" s="36" t="s">
        <v>27</v>
      </c>
      <c r="C37" s="55">
        <v>2810827552</v>
      </c>
      <c r="D37" s="51" t="s">
        <v>81</v>
      </c>
      <c r="E37" s="52" t="s">
        <v>106</v>
      </c>
      <c r="F37" s="53" t="s">
        <v>127</v>
      </c>
      <c r="G37" s="66">
        <v>1851</v>
      </c>
      <c r="H37" s="70">
        <v>30</v>
      </c>
      <c r="I37" s="56">
        <v>30</v>
      </c>
      <c r="J37" s="48">
        <v>13580</v>
      </c>
      <c r="K37" s="5">
        <v>3420</v>
      </c>
      <c r="L37" s="40">
        <v>0</v>
      </c>
      <c r="M37" s="41">
        <f t="shared" si="0"/>
        <v>17000</v>
      </c>
      <c r="N37" s="42">
        <f t="shared" si="1"/>
        <v>17000</v>
      </c>
      <c r="O37" s="21">
        <f t="shared" si="2"/>
        <v>13580</v>
      </c>
      <c r="P37" s="21">
        <f t="shared" si="3"/>
        <v>3420</v>
      </c>
      <c r="Q37" s="43">
        <f t="shared" si="4"/>
        <v>0</v>
      </c>
      <c r="R37" s="10"/>
      <c r="S37" s="44">
        <f t="shared" si="5"/>
        <v>17000</v>
      </c>
      <c r="T37" s="14">
        <f t="shared" si="6"/>
        <v>1630</v>
      </c>
      <c r="U37" s="46">
        <f t="shared" si="11"/>
        <v>128</v>
      </c>
      <c r="V37" s="28"/>
      <c r="W37" s="2"/>
      <c r="X37" s="44">
        <f t="shared" si="7"/>
        <v>1758</v>
      </c>
      <c r="Y37" s="44">
        <f t="shared" si="8"/>
        <v>15242</v>
      </c>
      <c r="Z37" s="13">
        <v>1</v>
      </c>
      <c r="AA37" s="13">
        <v>0.5</v>
      </c>
      <c r="AC37" s="34"/>
      <c r="AD37" s="34"/>
    </row>
    <row r="38" spans="1:30" x14ac:dyDescent="0.45">
      <c r="A38" s="9">
        <f t="shared" si="9"/>
        <v>27</v>
      </c>
      <c r="B38" s="36" t="s">
        <v>27</v>
      </c>
      <c r="C38" s="55">
        <v>2810827316</v>
      </c>
      <c r="D38" s="51" t="s">
        <v>64</v>
      </c>
      <c r="E38" s="52" t="s">
        <v>88</v>
      </c>
      <c r="F38" s="53" t="s">
        <v>86</v>
      </c>
      <c r="G38" s="66">
        <v>1852</v>
      </c>
      <c r="H38" s="70">
        <v>27</v>
      </c>
      <c r="I38" s="56">
        <v>27</v>
      </c>
      <c r="J38" s="48">
        <v>13580</v>
      </c>
      <c r="K38" s="5">
        <v>1420</v>
      </c>
      <c r="L38" s="40">
        <v>0</v>
      </c>
      <c r="M38" s="41">
        <f t="shared" si="0"/>
        <v>15000</v>
      </c>
      <c r="N38" s="42">
        <f t="shared" si="1"/>
        <v>15000</v>
      </c>
      <c r="O38" s="21">
        <f t="shared" si="2"/>
        <v>12222</v>
      </c>
      <c r="P38" s="21">
        <f t="shared" si="3"/>
        <v>1278</v>
      </c>
      <c r="Q38" s="43">
        <f t="shared" si="4"/>
        <v>0</v>
      </c>
      <c r="R38" s="10"/>
      <c r="S38" s="44">
        <f t="shared" si="5"/>
        <v>13500</v>
      </c>
      <c r="T38" s="14">
        <f t="shared" si="6"/>
        <v>1467</v>
      </c>
      <c r="U38" s="46">
        <f t="shared" si="11"/>
        <v>102</v>
      </c>
      <c r="V38" s="28"/>
      <c r="W38" s="2"/>
      <c r="X38" s="44">
        <f t="shared" si="7"/>
        <v>1569</v>
      </c>
      <c r="Y38" s="44">
        <f t="shared" si="8"/>
        <v>11931</v>
      </c>
      <c r="Z38" s="13">
        <v>1</v>
      </c>
      <c r="AA38" s="13">
        <v>0.5</v>
      </c>
      <c r="AC38" s="34"/>
      <c r="AD38" s="34"/>
    </row>
    <row r="39" spans="1:30" x14ac:dyDescent="0.45">
      <c r="A39" s="9">
        <f t="shared" si="9"/>
        <v>28</v>
      </c>
      <c r="B39" s="36" t="s">
        <v>27</v>
      </c>
      <c r="C39" s="55">
        <v>2810827321</v>
      </c>
      <c r="D39" s="51" t="s">
        <v>69</v>
      </c>
      <c r="E39" s="52" t="s">
        <v>93</v>
      </c>
      <c r="F39" s="53" t="s">
        <v>114</v>
      </c>
      <c r="G39" s="66">
        <v>1854</v>
      </c>
      <c r="H39" s="70">
        <v>25</v>
      </c>
      <c r="I39" s="56">
        <v>25</v>
      </c>
      <c r="J39" s="48">
        <v>13580</v>
      </c>
      <c r="K39" s="5">
        <v>4420</v>
      </c>
      <c r="L39" s="40">
        <v>0</v>
      </c>
      <c r="M39" s="41">
        <f t="shared" si="0"/>
        <v>18000</v>
      </c>
      <c r="N39" s="42">
        <f t="shared" si="1"/>
        <v>18000</v>
      </c>
      <c r="O39" s="21">
        <f t="shared" si="2"/>
        <v>11317</v>
      </c>
      <c r="P39" s="21">
        <f t="shared" si="3"/>
        <v>3683</v>
      </c>
      <c r="Q39" s="43">
        <f t="shared" si="4"/>
        <v>0</v>
      </c>
      <c r="R39" s="10"/>
      <c r="S39" s="44">
        <f t="shared" si="5"/>
        <v>15000</v>
      </c>
      <c r="T39" s="14">
        <f t="shared" si="6"/>
        <v>1358</v>
      </c>
      <c r="U39" s="46">
        <f t="shared" si="11"/>
        <v>113</v>
      </c>
      <c r="V39" s="28"/>
      <c r="W39" s="2"/>
      <c r="X39" s="44">
        <f t="shared" si="7"/>
        <v>1471</v>
      </c>
      <c r="Y39" s="44">
        <f t="shared" si="8"/>
        <v>13529</v>
      </c>
      <c r="Z39" s="13">
        <v>1</v>
      </c>
      <c r="AA39" s="13">
        <v>0.5</v>
      </c>
      <c r="AC39" s="34"/>
      <c r="AD39" s="34"/>
    </row>
    <row r="40" spans="1:30" x14ac:dyDescent="0.45">
      <c r="A40" s="9">
        <f t="shared" si="9"/>
        <v>29</v>
      </c>
      <c r="B40" s="36" t="s">
        <v>27</v>
      </c>
      <c r="C40" s="55">
        <v>2810827334</v>
      </c>
      <c r="D40" s="51" t="s">
        <v>78</v>
      </c>
      <c r="E40" s="52" t="s">
        <v>103</v>
      </c>
      <c r="F40" s="53" t="s">
        <v>124</v>
      </c>
      <c r="G40" s="66">
        <v>1855</v>
      </c>
      <c r="H40" s="70">
        <v>29</v>
      </c>
      <c r="I40" s="56">
        <v>29</v>
      </c>
      <c r="J40" s="48">
        <v>13580</v>
      </c>
      <c r="K40" s="5">
        <v>1420</v>
      </c>
      <c r="L40" s="40">
        <v>0</v>
      </c>
      <c r="M40" s="41">
        <f t="shared" si="0"/>
        <v>15000</v>
      </c>
      <c r="N40" s="42">
        <f t="shared" si="1"/>
        <v>15000</v>
      </c>
      <c r="O40" s="21">
        <f t="shared" si="2"/>
        <v>13127</v>
      </c>
      <c r="P40" s="21">
        <f t="shared" si="3"/>
        <v>1373</v>
      </c>
      <c r="Q40" s="43">
        <f t="shared" si="4"/>
        <v>0</v>
      </c>
      <c r="R40" s="10"/>
      <c r="S40" s="44">
        <f t="shared" si="5"/>
        <v>14500</v>
      </c>
      <c r="T40" s="14">
        <f t="shared" si="6"/>
        <v>1575</v>
      </c>
      <c r="U40" s="46">
        <f t="shared" si="11"/>
        <v>109</v>
      </c>
      <c r="V40" s="28"/>
      <c r="W40" s="2"/>
      <c r="X40" s="44">
        <f t="shared" si="7"/>
        <v>1684</v>
      </c>
      <c r="Y40" s="44">
        <f t="shared" si="8"/>
        <v>12816</v>
      </c>
      <c r="Z40" s="13">
        <v>1</v>
      </c>
      <c r="AA40" s="13">
        <v>0.5</v>
      </c>
      <c r="AC40" s="34"/>
      <c r="AD40" s="34"/>
    </row>
    <row r="41" spans="1:30" ht="19" thickBot="1" x14ac:dyDescent="0.5">
      <c r="A41" s="9">
        <f t="shared" si="9"/>
        <v>30</v>
      </c>
      <c r="B41" s="30" t="s">
        <v>27</v>
      </c>
      <c r="C41" s="62">
        <v>2810827569</v>
      </c>
      <c r="D41" s="51" t="s">
        <v>84</v>
      </c>
      <c r="E41" s="52" t="s">
        <v>109</v>
      </c>
      <c r="F41" s="53" t="s">
        <v>130</v>
      </c>
      <c r="G41" s="66">
        <v>1863</v>
      </c>
      <c r="H41" s="71">
        <v>27</v>
      </c>
      <c r="I41" s="56">
        <v>27</v>
      </c>
      <c r="J41" s="48">
        <v>13580</v>
      </c>
      <c r="K41" s="5">
        <v>1420</v>
      </c>
      <c r="L41" s="5">
        <v>0</v>
      </c>
      <c r="M41" s="10">
        <f t="shared" si="0"/>
        <v>15000</v>
      </c>
      <c r="N41" s="11">
        <f t="shared" si="1"/>
        <v>15000</v>
      </c>
      <c r="O41" s="21">
        <f t="shared" si="2"/>
        <v>12222</v>
      </c>
      <c r="P41" s="21">
        <f t="shared" si="3"/>
        <v>1278</v>
      </c>
      <c r="Q41" s="43">
        <f t="shared" si="4"/>
        <v>0</v>
      </c>
      <c r="R41" s="10"/>
      <c r="S41" s="44">
        <f t="shared" si="5"/>
        <v>13500</v>
      </c>
      <c r="T41" s="14">
        <f t="shared" si="6"/>
        <v>1467</v>
      </c>
      <c r="U41" s="46">
        <f t="shared" si="11"/>
        <v>102</v>
      </c>
      <c r="V41" s="28"/>
      <c r="W41" s="2"/>
      <c r="X41" s="44">
        <f t="shared" si="7"/>
        <v>1569</v>
      </c>
      <c r="Y41" s="44">
        <f t="shared" si="8"/>
        <v>11931</v>
      </c>
      <c r="Z41" s="13">
        <v>1</v>
      </c>
      <c r="AA41" s="13">
        <v>0.5</v>
      </c>
      <c r="AC41" s="34"/>
      <c r="AD41" s="34"/>
    </row>
    <row r="42" spans="1:30" ht="19.5" thickTop="1" thickBot="1" x14ac:dyDescent="0.5">
      <c r="E42" s="3"/>
      <c r="F42" s="3"/>
      <c r="G42" s="3"/>
      <c r="H42" s="60"/>
      <c r="J42" s="3"/>
      <c r="K42" s="3"/>
      <c r="L42" s="3"/>
      <c r="M42" s="3"/>
      <c r="N42" s="3"/>
      <c r="O42" s="16">
        <f t="shared" ref="O42:Y42" si="12">SUM(O8:O41)</f>
        <v>541558</v>
      </c>
      <c r="P42" s="16">
        <f t="shared" si="12"/>
        <v>241525</v>
      </c>
      <c r="Q42" s="16">
        <f t="shared" si="12"/>
        <v>34481</v>
      </c>
      <c r="R42" s="16">
        <f t="shared" si="12"/>
        <v>0</v>
      </c>
      <c r="S42" s="16">
        <f t="shared" si="12"/>
        <v>817564</v>
      </c>
      <c r="T42" s="16">
        <f t="shared" si="12"/>
        <v>52645</v>
      </c>
      <c r="U42" s="16">
        <f t="shared" si="12"/>
        <v>3225</v>
      </c>
      <c r="V42" s="16">
        <f t="shared" si="12"/>
        <v>10000</v>
      </c>
      <c r="W42" s="16">
        <f t="shared" si="12"/>
        <v>20000</v>
      </c>
      <c r="X42" s="16">
        <f t="shared" si="12"/>
        <v>85870</v>
      </c>
      <c r="Y42" s="16">
        <f t="shared" si="12"/>
        <v>731694</v>
      </c>
      <c r="Z42" s="17"/>
    </row>
    <row r="43" spans="1:30" ht="19" thickTop="1" x14ac:dyDescent="0.45">
      <c r="W43" s="18"/>
      <c r="X43" s="18"/>
      <c r="Y43" s="18"/>
    </row>
    <row r="44" spans="1:30" x14ac:dyDescent="0.45">
      <c r="X44" s="18"/>
    </row>
    <row r="45" spans="1:30" x14ac:dyDescent="0.45">
      <c r="S45" s="18"/>
      <c r="W45" s="18"/>
      <c r="Y45" s="18"/>
    </row>
  </sheetData>
  <mergeCells count="5">
    <mergeCell ref="A1:AA3"/>
    <mergeCell ref="T5:W5"/>
    <mergeCell ref="Z5:Z6"/>
    <mergeCell ref="AA5:AA6"/>
    <mergeCell ref="A4:Y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Apr-26</vt:lpstr>
    </vt:vector>
  </TitlesOfParts>
  <Company>sify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Sumit Negi</cp:lastModifiedBy>
  <cp:lastPrinted>2025-08-05T11:10:44Z</cp:lastPrinted>
  <dcterms:created xsi:type="dcterms:W3CDTF">2014-01-12T12:15:53Z</dcterms:created>
  <dcterms:modified xsi:type="dcterms:W3CDTF">2026-05-07T14:09:04Z</dcterms:modified>
</cp:coreProperties>
</file>