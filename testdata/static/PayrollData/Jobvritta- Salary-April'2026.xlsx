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B VRITTA PRIVATE LTD\SALARY SHEET\SALARY CALCULATION (F.Y. 2026-27)\"/>
    </mc:Choice>
  </mc:AlternateContent>
  <bookViews>
    <workbookView xWindow="0" yWindow="0" windowWidth="20496" windowHeight="7428" tabRatio="583"/>
  </bookViews>
  <sheets>
    <sheet name="APR-26" sheetId="30" r:id="rId1"/>
  </sheets>
  <definedNames>
    <definedName name="_xlnm._FilterDatabase" localSheetId="0" hidden="1">'APR-26'!$A$7:$AH$92</definedName>
    <definedName name="_xlnm.Print_Area" localSheetId="0">'APR-26'!$A$1:$AB$92</definedName>
  </definedNames>
  <calcPr calcId="162913"/>
</workbook>
</file>

<file path=xl/calcChain.xml><?xml version="1.0" encoding="utf-8"?>
<calcChain xmlns="http://schemas.openxmlformats.org/spreadsheetml/2006/main">
  <c r="A10" i="30" l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P85" i="30" l="1"/>
  <c r="U85" i="30" s="1"/>
  <c r="Q85" i="30"/>
  <c r="R85" i="30"/>
  <c r="P86" i="30"/>
  <c r="Q86" i="30"/>
  <c r="R86" i="30"/>
  <c r="P84" i="30"/>
  <c r="Q84" i="30"/>
  <c r="R84" i="30"/>
  <c r="P83" i="30"/>
  <c r="U83" i="30" s="1"/>
  <c r="Q83" i="30"/>
  <c r="R83" i="30"/>
  <c r="P87" i="30"/>
  <c r="Q87" i="30"/>
  <c r="R87" i="30"/>
  <c r="P82" i="30"/>
  <c r="U82" i="30" s="1"/>
  <c r="Q82" i="30"/>
  <c r="R82" i="30"/>
  <c r="P81" i="30"/>
  <c r="U81" i="30" s="1"/>
  <c r="Q81" i="30"/>
  <c r="R81" i="30"/>
  <c r="P80" i="30"/>
  <c r="U80" i="30" s="1"/>
  <c r="Q80" i="30"/>
  <c r="R80" i="30"/>
  <c r="N80" i="30"/>
  <c r="O80" i="30" s="1"/>
  <c r="N79" i="30"/>
  <c r="O79" i="30" s="1"/>
  <c r="N85" i="30"/>
  <c r="O85" i="30" s="1"/>
  <c r="N86" i="30"/>
  <c r="O86" i="30" s="1"/>
  <c r="N84" i="30"/>
  <c r="O84" i="30" s="1"/>
  <c r="N83" i="30"/>
  <c r="O83" i="30" s="1"/>
  <c r="N87" i="30"/>
  <c r="O87" i="30" s="1"/>
  <c r="N82" i="30"/>
  <c r="O82" i="30" s="1"/>
  <c r="N81" i="30"/>
  <c r="O81" i="30" s="1"/>
  <c r="T81" i="30" l="1"/>
  <c r="V81" i="30" s="1"/>
  <c r="Y81" i="30" s="1"/>
  <c r="Z81" i="30" s="1"/>
  <c r="T83" i="30"/>
  <c r="V83" i="30" s="1"/>
  <c r="Y83" i="30" s="1"/>
  <c r="Z83" i="30" s="1"/>
  <c r="T82" i="30"/>
  <c r="V82" i="30" s="1"/>
  <c r="Y82" i="30" s="1"/>
  <c r="Z82" i="30" s="1"/>
  <c r="T85" i="30"/>
  <c r="V85" i="30" s="1"/>
  <c r="Y85" i="30" s="1"/>
  <c r="Z85" i="30" s="1"/>
  <c r="T86" i="30"/>
  <c r="V86" i="30" s="1"/>
  <c r="T87" i="30"/>
  <c r="V87" i="30" s="1"/>
  <c r="T84" i="30"/>
  <c r="V84" i="30" s="1"/>
  <c r="U86" i="30"/>
  <c r="U87" i="30"/>
  <c r="U84" i="30"/>
  <c r="T80" i="30"/>
  <c r="X92" i="30"/>
  <c r="W92" i="30"/>
  <c r="S92" i="30"/>
  <c r="Y87" i="30" l="1"/>
  <c r="Z87" i="30" s="1"/>
  <c r="Y84" i="30"/>
  <c r="Z84" i="30" s="1"/>
  <c r="Y86" i="30"/>
  <c r="Z86" i="30" s="1"/>
  <c r="V80" i="30"/>
  <c r="Y80" i="30" s="1"/>
  <c r="Z80" i="30" s="1"/>
  <c r="N40" i="30"/>
  <c r="O40" i="30" s="1"/>
  <c r="P40" i="30"/>
  <c r="U40" i="30" s="1"/>
  <c r="Y40" i="30" s="1"/>
  <c r="Q40" i="30"/>
  <c r="R40" i="30"/>
  <c r="R79" i="30"/>
  <c r="Q79" i="30"/>
  <c r="P79" i="30"/>
  <c r="U79" i="30" s="1"/>
  <c r="N91" i="30"/>
  <c r="O91" i="30" s="1"/>
  <c r="R91" i="30"/>
  <c r="Q91" i="30"/>
  <c r="P91" i="30"/>
  <c r="U91" i="30" s="1"/>
  <c r="N90" i="30"/>
  <c r="O90" i="30" s="1"/>
  <c r="R90" i="30"/>
  <c r="Q90" i="30"/>
  <c r="P90" i="30"/>
  <c r="U90" i="30" s="1"/>
  <c r="R78" i="30"/>
  <c r="P78" i="30"/>
  <c r="U78" i="30" s="1"/>
  <c r="N78" i="30"/>
  <c r="O78" i="30" s="1"/>
  <c r="Q78" i="30"/>
  <c r="N77" i="30"/>
  <c r="O77" i="30" s="1"/>
  <c r="R77" i="30"/>
  <c r="Q77" i="30"/>
  <c r="P77" i="30"/>
  <c r="N76" i="30"/>
  <c r="O76" i="30" s="1"/>
  <c r="R76" i="30"/>
  <c r="Q76" i="30"/>
  <c r="P76" i="30"/>
  <c r="T90" i="30" l="1"/>
  <c r="V90" i="30" s="1"/>
  <c r="Y90" i="30" s="1"/>
  <c r="Z90" i="30" s="1"/>
  <c r="T40" i="30"/>
  <c r="Z40" i="30" s="1"/>
  <c r="T91" i="30"/>
  <c r="V91" i="30" s="1"/>
  <c r="Y91" i="30" s="1"/>
  <c r="T76" i="30"/>
  <c r="V76" i="30" s="1"/>
  <c r="T77" i="30"/>
  <c r="T78" i="30"/>
  <c r="V78" i="30" s="1"/>
  <c r="Y78" i="30" s="1"/>
  <c r="Z78" i="30" s="1"/>
  <c r="T79" i="30"/>
  <c r="V79" i="30" s="1"/>
  <c r="Y79" i="30" s="1"/>
  <c r="Y77" i="30"/>
  <c r="U76" i="30"/>
  <c r="Z91" i="30" l="1"/>
  <c r="Y76" i="30"/>
  <c r="Z76" i="30" s="1"/>
  <c r="Z79" i="30"/>
  <c r="Z77" i="30"/>
  <c r="N65" i="30" l="1"/>
  <c r="O65" i="30" s="1"/>
  <c r="P65" i="30"/>
  <c r="Q65" i="30"/>
  <c r="R65" i="30"/>
  <c r="T65" i="30" l="1"/>
  <c r="V65" i="30" s="1"/>
  <c r="U65" i="30"/>
  <c r="Y65" i="30" l="1"/>
  <c r="Z65" i="30" s="1"/>
  <c r="N68" i="30"/>
  <c r="O68" i="30" s="1"/>
  <c r="P68" i="30"/>
  <c r="Q68" i="30"/>
  <c r="R68" i="30"/>
  <c r="T68" i="30" l="1"/>
  <c r="V68" i="30" s="1"/>
  <c r="U68" i="30"/>
  <c r="N69" i="30"/>
  <c r="O69" i="30" s="1"/>
  <c r="N70" i="30"/>
  <c r="O70" i="30" s="1"/>
  <c r="N71" i="30"/>
  <c r="O71" i="30" s="1"/>
  <c r="N75" i="30"/>
  <c r="O75" i="30" s="1"/>
  <c r="N72" i="30"/>
  <c r="O72" i="30" s="1"/>
  <c r="N73" i="30"/>
  <c r="O73" i="30" s="1"/>
  <c r="N74" i="30"/>
  <c r="O74" i="30" s="1"/>
  <c r="P69" i="30"/>
  <c r="Q69" i="30"/>
  <c r="R69" i="30"/>
  <c r="P70" i="30"/>
  <c r="Q70" i="30"/>
  <c r="R70" i="30"/>
  <c r="P71" i="30"/>
  <c r="Q71" i="30"/>
  <c r="R71" i="30"/>
  <c r="P75" i="30"/>
  <c r="U75" i="30" s="1"/>
  <c r="Q75" i="30"/>
  <c r="R75" i="30"/>
  <c r="P72" i="30"/>
  <c r="U72" i="30" s="1"/>
  <c r="Q72" i="30"/>
  <c r="R72" i="30"/>
  <c r="P73" i="30"/>
  <c r="Q73" i="30"/>
  <c r="R73" i="30"/>
  <c r="P74" i="30"/>
  <c r="Q74" i="30"/>
  <c r="R74" i="30"/>
  <c r="T71" i="30" l="1"/>
  <c r="V71" i="30" s="1"/>
  <c r="T75" i="30"/>
  <c r="V75" i="30" s="1"/>
  <c r="Y75" i="30" s="1"/>
  <c r="Z75" i="30" s="1"/>
  <c r="T73" i="30"/>
  <c r="V73" i="30" s="1"/>
  <c r="Y68" i="30"/>
  <c r="Z68" i="30" s="1"/>
  <c r="T72" i="30"/>
  <c r="V72" i="30" s="1"/>
  <c r="Y72" i="30" s="1"/>
  <c r="T74" i="30"/>
  <c r="V74" i="30" s="1"/>
  <c r="U73" i="30"/>
  <c r="T70" i="30"/>
  <c r="T69" i="30"/>
  <c r="U71" i="30"/>
  <c r="U70" i="30"/>
  <c r="U69" i="30"/>
  <c r="U74" i="30"/>
  <c r="Y73" i="30" l="1"/>
  <c r="Z73" i="30" s="1"/>
  <c r="Z72" i="30"/>
  <c r="Y71" i="30"/>
  <c r="Z71" i="30" s="1"/>
  <c r="Y74" i="30"/>
  <c r="Z74" i="30" s="1"/>
  <c r="Y69" i="30"/>
  <c r="Y70" i="30"/>
  <c r="Z70" i="30" s="1"/>
  <c r="Z69" i="30" l="1"/>
  <c r="N20" i="30" l="1"/>
  <c r="O20" i="30" s="1"/>
  <c r="P20" i="30"/>
  <c r="U20" i="30" s="1"/>
  <c r="Q20" i="30"/>
  <c r="R20" i="30"/>
  <c r="T20" i="30" l="1"/>
  <c r="V20" i="30" s="1"/>
  <c r="Y20" i="30" s="1"/>
  <c r="Z20" i="30" s="1"/>
  <c r="N67" i="30" l="1"/>
  <c r="O67" i="30" s="1"/>
  <c r="P67" i="30"/>
  <c r="U67" i="30" s="1"/>
  <c r="Q67" i="30"/>
  <c r="R67" i="30"/>
  <c r="T67" i="30" l="1"/>
  <c r="V67" i="30" s="1"/>
  <c r="Y67" i="30" s="1"/>
  <c r="Z67" i="30" s="1"/>
  <c r="N62" i="30" l="1"/>
  <c r="O62" i="30" s="1"/>
  <c r="P62" i="30"/>
  <c r="U62" i="30" s="1"/>
  <c r="Q62" i="30"/>
  <c r="R62" i="30"/>
  <c r="N66" i="30"/>
  <c r="O66" i="30" s="1"/>
  <c r="P66" i="30"/>
  <c r="Q66" i="30"/>
  <c r="R66" i="30"/>
  <c r="N64" i="30"/>
  <c r="O64" i="30" s="1"/>
  <c r="P64" i="30"/>
  <c r="Q64" i="30"/>
  <c r="R64" i="30"/>
  <c r="N63" i="30"/>
  <c r="O63" i="30" s="1"/>
  <c r="P63" i="30"/>
  <c r="U63" i="30" s="1"/>
  <c r="Q63" i="30"/>
  <c r="R63" i="30"/>
  <c r="T64" i="30" l="1"/>
  <c r="V64" i="30" s="1"/>
  <c r="U64" i="30"/>
  <c r="T63" i="30"/>
  <c r="V63" i="30" s="1"/>
  <c r="Y63" i="30" s="1"/>
  <c r="Z63" i="30" s="1"/>
  <c r="T66" i="30"/>
  <c r="V66" i="30" s="1"/>
  <c r="U66" i="30"/>
  <c r="T62" i="30"/>
  <c r="V62" i="30" s="1"/>
  <c r="Y62" i="30" s="1"/>
  <c r="Z62" i="30" s="1"/>
  <c r="N52" i="30"/>
  <c r="O52" i="30" s="1"/>
  <c r="P52" i="30"/>
  <c r="U52" i="30" s="1"/>
  <c r="Y52" i="30" s="1"/>
  <c r="Q52" i="30"/>
  <c r="R52" i="30"/>
  <c r="N57" i="30"/>
  <c r="O57" i="30" s="1"/>
  <c r="P57" i="30"/>
  <c r="U57" i="30" s="1"/>
  <c r="Y57" i="30" s="1"/>
  <c r="Q57" i="30"/>
  <c r="R57" i="30"/>
  <c r="N55" i="30"/>
  <c r="O55" i="30" s="1"/>
  <c r="P55" i="30"/>
  <c r="U55" i="30" s="1"/>
  <c r="Q55" i="30"/>
  <c r="R55" i="30"/>
  <c r="N56" i="30"/>
  <c r="O56" i="30" s="1"/>
  <c r="P56" i="30"/>
  <c r="Q56" i="30"/>
  <c r="R56" i="30"/>
  <c r="N54" i="30"/>
  <c r="O54" i="30" s="1"/>
  <c r="P54" i="30"/>
  <c r="U54" i="30" s="1"/>
  <c r="Q54" i="30"/>
  <c r="R54" i="30"/>
  <c r="N53" i="30"/>
  <c r="O53" i="30" s="1"/>
  <c r="P53" i="30"/>
  <c r="Q53" i="30"/>
  <c r="R53" i="30"/>
  <c r="N58" i="30"/>
  <c r="O58" i="30" s="1"/>
  <c r="P58" i="30"/>
  <c r="U58" i="30" s="1"/>
  <c r="Q58" i="30"/>
  <c r="R58" i="30"/>
  <c r="N59" i="30"/>
  <c r="O59" i="30" s="1"/>
  <c r="P59" i="30"/>
  <c r="U59" i="30" s="1"/>
  <c r="Q59" i="30"/>
  <c r="R59" i="30"/>
  <c r="N61" i="30"/>
  <c r="O61" i="30" s="1"/>
  <c r="P61" i="30"/>
  <c r="U61" i="30" s="1"/>
  <c r="Q61" i="30"/>
  <c r="R61" i="30"/>
  <c r="N60" i="30"/>
  <c r="O60" i="30" s="1"/>
  <c r="P60" i="30"/>
  <c r="U60" i="30" s="1"/>
  <c r="Q60" i="30"/>
  <c r="R60" i="30"/>
  <c r="Y64" i="30" l="1"/>
  <c r="Z64" i="30" s="1"/>
  <c r="Y66" i="30"/>
  <c r="Z66" i="30" s="1"/>
  <c r="T59" i="30"/>
  <c r="V59" i="30" s="1"/>
  <c r="Y59" i="30" s="1"/>
  <c r="Z59" i="30" s="1"/>
  <c r="T56" i="30"/>
  <c r="T60" i="30"/>
  <c r="V60" i="30" s="1"/>
  <c r="Y60" i="30" s="1"/>
  <c r="T53" i="30"/>
  <c r="V53" i="30" s="1"/>
  <c r="T54" i="30"/>
  <c r="T55" i="30"/>
  <c r="T57" i="30"/>
  <c r="Z57" i="30" s="1"/>
  <c r="T58" i="30"/>
  <c r="U53" i="30"/>
  <c r="U56" i="30"/>
  <c r="T52" i="30"/>
  <c r="Z52" i="30" s="1"/>
  <c r="T61" i="30"/>
  <c r="Y53" i="30" l="1"/>
  <c r="Z53" i="30" s="1"/>
  <c r="Y56" i="30"/>
  <c r="Z56" i="30" s="1"/>
  <c r="V55" i="30"/>
  <c r="Y55" i="30" s="1"/>
  <c r="Z55" i="30" s="1"/>
  <c r="V58" i="30"/>
  <c r="Y58" i="30" s="1"/>
  <c r="Z58" i="30" s="1"/>
  <c r="V54" i="30"/>
  <c r="Y54" i="30" s="1"/>
  <c r="Z54" i="30" s="1"/>
  <c r="V61" i="30"/>
  <c r="Y61" i="30" s="1"/>
  <c r="Z61" i="30" s="1"/>
  <c r="Z60" i="30"/>
  <c r="N51" i="30" l="1"/>
  <c r="O51" i="30" s="1"/>
  <c r="P51" i="30"/>
  <c r="Q51" i="30"/>
  <c r="R51" i="30"/>
  <c r="T51" i="30" l="1"/>
  <c r="U51" i="30"/>
  <c r="Y51" i="30" s="1"/>
  <c r="N49" i="30"/>
  <c r="O49" i="30" s="1"/>
  <c r="P49" i="30"/>
  <c r="U49" i="30" s="1"/>
  <c r="Q49" i="30"/>
  <c r="R49" i="30"/>
  <c r="N50" i="30"/>
  <c r="O50" i="30" s="1"/>
  <c r="P50" i="30"/>
  <c r="Q50" i="30"/>
  <c r="R50" i="30"/>
  <c r="N48" i="30"/>
  <c r="O48" i="30" s="1"/>
  <c r="P48" i="30"/>
  <c r="Q48" i="30"/>
  <c r="R48" i="30"/>
  <c r="U48" i="30"/>
  <c r="Z51" i="30" l="1"/>
  <c r="T50" i="30"/>
  <c r="V50" i="30" s="1"/>
  <c r="T48" i="30"/>
  <c r="Y48" i="30" s="1"/>
  <c r="U50" i="30"/>
  <c r="T49" i="30"/>
  <c r="Y49" i="30" s="1"/>
  <c r="Z49" i="30" s="1"/>
  <c r="Y50" i="30" l="1"/>
  <c r="Z50" i="30" s="1"/>
  <c r="Z48" i="30"/>
  <c r="R17" i="30" l="1"/>
  <c r="Q17" i="30"/>
  <c r="P17" i="30"/>
  <c r="U17" i="30" s="1"/>
  <c r="N17" i="30"/>
  <c r="O17" i="30" s="1"/>
  <c r="T17" i="30" l="1"/>
  <c r="Y17" i="30" s="1"/>
  <c r="Z17" i="30" s="1"/>
  <c r="N46" i="30" l="1"/>
  <c r="O46" i="30" s="1"/>
  <c r="P46" i="30"/>
  <c r="Q46" i="30"/>
  <c r="R46" i="30"/>
  <c r="T46" i="30" l="1"/>
  <c r="U46" i="30"/>
  <c r="V46" i="30" l="1"/>
  <c r="Y46" i="30" s="1"/>
  <c r="Z46" i="30" s="1"/>
  <c r="N14" i="30" l="1"/>
  <c r="O14" i="30" s="1"/>
  <c r="P14" i="30"/>
  <c r="Q14" i="30"/>
  <c r="R14" i="30"/>
  <c r="N45" i="30"/>
  <c r="O45" i="30" s="1"/>
  <c r="P45" i="30"/>
  <c r="Q45" i="30"/>
  <c r="R45" i="30"/>
  <c r="N13" i="30"/>
  <c r="O13" i="30" s="1"/>
  <c r="P13" i="30"/>
  <c r="Q13" i="30"/>
  <c r="R13" i="30"/>
  <c r="N47" i="30"/>
  <c r="O47" i="30" s="1"/>
  <c r="P47" i="30"/>
  <c r="U47" i="30" s="1"/>
  <c r="Q47" i="30"/>
  <c r="R47" i="30"/>
  <c r="T45" i="30" l="1"/>
  <c r="T14" i="30"/>
  <c r="U45" i="30"/>
  <c r="U14" i="30"/>
  <c r="T13" i="30"/>
  <c r="T47" i="30"/>
  <c r="U13" i="30"/>
  <c r="V14" i="30" l="1"/>
  <c r="Y14" i="30" s="1"/>
  <c r="Z14" i="30" s="1"/>
  <c r="V45" i="30"/>
  <c r="Y45" i="30" s="1"/>
  <c r="Z45" i="30" s="1"/>
  <c r="V13" i="30"/>
  <c r="Y13" i="30" s="1"/>
  <c r="Z13" i="30" s="1"/>
  <c r="V47" i="30"/>
  <c r="Y47" i="30" s="1"/>
  <c r="Z47" i="30" s="1"/>
  <c r="U12" i="30"/>
  <c r="Y12" i="30" s="1"/>
  <c r="P88" i="30"/>
  <c r="U88" i="30" s="1"/>
  <c r="Q88" i="30"/>
  <c r="R88" i="30"/>
  <c r="P89" i="30"/>
  <c r="U89" i="30" s="1"/>
  <c r="Q89" i="30"/>
  <c r="R89" i="30"/>
  <c r="P19" i="30"/>
  <c r="Q19" i="30"/>
  <c r="R19" i="30"/>
  <c r="P11" i="30"/>
  <c r="U11" i="30" s="1"/>
  <c r="Q11" i="30"/>
  <c r="R11" i="30"/>
  <c r="P12" i="30"/>
  <c r="Q12" i="30"/>
  <c r="R12" i="30"/>
  <c r="P9" i="30"/>
  <c r="U9" i="30" s="1"/>
  <c r="Q9" i="30"/>
  <c r="R9" i="30"/>
  <c r="N88" i="30"/>
  <c r="O88" i="30" s="1"/>
  <c r="N89" i="30"/>
  <c r="O89" i="30" s="1"/>
  <c r="N19" i="30"/>
  <c r="O19" i="30" s="1"/>
  <c r="N11" i="30"/>
  <c r="O11" i="30" s="1"/>
  <c r="N12" i="30"/>
  <c r="O12" i="30" s="1"/>
  <c r="N9" i="30"/>
  <c r="O9" i="30" s="1"/>
  <c r="T19" i="30" l="1"/>
  <c r="U19" i="30"/>
  <c r="Y19" i="30" s="1"/>
  <c r="T89" i="30"/>
  <c r="T9" i="30"/>
  <c r="T88" i="30"/>
  <c r="T12" i="30"/>
  <c r="Z12" i="30" s="1"/>
  <c r="T11" i="30"/>
  <c r="Z19" i="30" l="1"/>
  <c r="V88" i="30"/>
  <c r="Y88" i="30" s="1"/>
  <c r="Z88" i="30" s="1"/>
  <c r="Y11" i="30"/>
  <c r="Z11" i="30" s="1"/>
  <c r="V89" i="30"/>
  <c r="Y89" i="30" s="1"/>
  <c r="Z89" i="30" s="1"/>
  <c r="Y9" i="30"/>
  <c r="Z9" i="30" s="1"/>
  <c r="N16" i="30" l="1"/>
  <c r="O16" i="30" s="1"/>
  <c r="P16" i="30"/>
  <c r="Q16" i="30"/>
  <c r="R16" i="30"/>
  <c r="N15" i="30"/>
  <c r="O15" i="30" s="1"/>
  <c r="P15" i="30"/>
  <c r="U15" i="30" s="1"/>
  <c r="Q15" i="30"/>
  <c r="R15" i="30"/>
  <c r="T16" i="30" l="1"/>
  <c r="U16" i="30"/>
  <c r="T15" i="30"/>
  <c r="Y15" i="30" l="1"/>
  <c r="Z15" i="30" s="1"/>
  <c r="Y16" i="30"/>
  <c r="Z16" i="30" s="1"/>
  <c r="P18" i="30" l="1"/>
  <c r="U18" i="30" s="1"/>
  <c r="Q18" i="30"/>
  <c r="R18" i="30"/>
  <c r="N18" i="30"/>
  <c r="O18" i="30" s="1"/>
  <c r="T18" i="30" l="1"/>
  <c r="Y18" i="30" l="1"/>
  <c r="Z18" i="30" s="1"/>
  <c r="R8" i="30" l="1"/>
  <c r="Q8" i="30"/>
  <c r="P8" i="30"/>
  <c r="N8" i="30"/>
  <c r="O8" i="30" s="1"/>
  <c r="R10" i="30"/>
  <c r="Q10" i="30"/>
  <c r="P10" i="30"/>
  <c r="U10" i="30" s="1"/>
  <c r="N10" i="30"/>
  <c r="O10" i="30" s="1"/>
  <c r="R44" i="30"/>
  <c r="Q44" i="30"/>
  <c r="P44" i="30"/>
  <c r="U44" i="30" s="1"/>
  <c r="N44" i="30"/>
  <c r="O44" i="30" s="1"/>
  <c r="R21" i="30"/>
  <c r="Q21" i="30"/>
  <c r="P21" i="30"/>
  <c r="U21" i="30" s="1"/>
  <c r="Y21" i="30" s="1"/>
  <c r="N21" i="30"/>
  <c r="O21" i="30" s="1"/>
  <c r="R22" i="30"/>
  <c r="Q22" i="30"/>
  <c r="P22" i="30"/>
  <c r="U22" i="30" s="1"/>
  <c r="Y22" i="30" s="1"/>
  <c r="N22" i="30"/>
  <c r="O22" i="30" s="1"/>
  <c r="R24" i="30"/>
  <c r="Q24" i="30"/>
  <c r="P24" i="30"/>
  <c r="N24" i="30"/>
  <c r="O24" i="30" s="1"/>
  <c r="R23" i="30"/>
  <c r="Q23" i="30"/>
  <c r="P23" i="30"/>
  <c r="U23" i="30" s="1"/>
  <c r="N23" i="30"/>
  <c r="O23" i="30" s="1"/>
  <c r="R25" i="30"/>
  <c r="Q25" i="30"/>
  <c r="P25" i="30"/>
  <c r="U25" i="30" s="1"/>
  <c r="Y25" i="30" s="1"/>
  <c r="N25" i="30"/>
  <c r="O25" i="30" s="1"/>
  <c r="U26" i="30"/>
  <c r="Y26" i="30" s="1"/>
  <c r="R26" i="30"/>
  <c r="Q26" i="30"/>
  <c r="P26" i="30"/>
  <c r="N26" i="30"/>
  <c r="O26" i="30" s="1"/>
  <c r="U27" i="30"/>
  <c r="Y27" i="30" s="1"/>
  <c r="R27" i="30"/>
  <c r="Q27" i="30"/>
  <c r="P27" i="30"/>
  <c r="N27" i="30"/>
  <c r="O27" i="30" s="1"/>
  <c r="R28" i="30"/>
  <c r="Q28" i="30"/>
  <c r="P28" i="30"/>
  <c r="U28" i="30" s="1"/>
  <c r="Y28" i="30" s="1"/>
  <c r="N28" i="30"/>
  <c r="O28" i="30" s="1"/>
  <c r="U43" i="30"/>
  <c r="Y43" i="30" s="1"/>
  <c r="R43" i="30"/>
  <c r="Q43" i="30"/>
  <c r="P43" i="30"/>
  <c r="N43" i="30"/>
  <c r="O43" i="30" s="1"/>
  <c r="R29" i="30"/>
  <c r="Q29" i="30"/>
  <c r="P29" i="30"/>
  <c r="U29" i="30" s="1"/>
  <c r="N29" i="30"/>
  <c r="O29" i="30" s="1"/>
  <c r="R36" i="30"/>
  <c r="Q36" i="30"/>
  <c r="P36" i="30"/>
  <c r="N36" i="30"/>
  <c r="O36" i="30" s="1"/>
  <c r="R35" i="30"/>
  <c r="Q35" i="30"/>
  <c r="P35" i="30"/>
  <c r="N35" i="30"/>
  <c r="O35" i="30" s="1"/>
  <c r="R34" i="30"/>
  <c r="Q34" i="30"/>
  <c r="P34" i="30"/>
  <c r="N34" i="30"/>
  <c r="O34" i="30" s="1"/>
  <c r="U31" i="30"/>
  <c r="Y31" i="30" s="1"/>
  <c r="R31" i="30"/>
  <c r="Q31" i="30"/>
  <c r="P31" i="30"/>
  <c r="N31" i="30"/>
  <c r="O31" i="30" s="1"/>
  <c r="U42" i="30"/>
  <c r="Y42" i="30" s="1"/>
  <c r="R42" i="30"/>
  <c r="Q42" i="30"/>
  <c r="P42" i="30"/>
  <c r="N42" i="30"/>
  <c r="O42" i="30" s="1"/>
  <c r="U32" i="30"/>
  <c r="R32" i="30"/>
  <c r="Q32" i="30"/>
  <c r="P32" i="30"/>
  <c r="N32" i="30"/>
  <c r="O32" i="30" s="1"/>
  <c r="R37" i="30"/>
  <c r="Q37" i="30"/>
  <c r="P37" i="30"/>
  <c r="U37" i="30" s="1"/>
  <c r="N37" i="30"/>
  <c r="O37" i="30" s="1"/>
  <c r="R33" i="30"/>
  <c r="Q33" i="30"/>
  <c r="P33" i="30"/>
  <c r="U33" i="30" s="1"/>
  <c r="N33" i="30"/>
  <c r="O33" i="30" s="1"/>
  <c r="R38" i="30"/>
  <c r="Q38" i="30"/>
  <c r="P38" i="30"/>
  <c r="U38" i="30" s="1"/>
  <c r="Y38" i="30" s="1"/>
  <c r="N38" i="30"/>
  <c r="O38" i="30" s="1"/>
  <c r="R30" i="30"/>
  <c r="Q30" i="30"/>
  <c r="P30" i="30"/>
  <c r="N30" i="30"/>
  <c r="O30" i="30" s="1"/>
  <c r="R41" i="30"/>
  <c r="Q41" i="30"/>
  <c r="P41" i="30"/>
  <c r="N41" i="30"/>
  <c r="O41" i="30" s="1"/>
  <c r="U39" i="30"/>
  <c r="Y39" i="30" s="1"/>
  <c r="R39" i="30"/>
  <c r="Q39" i="30"/>
  <c r="P39" i="30"/>
  <c r="N39" i="30"/>
  <c r="O39" i="30" s="1"/>
  <c r="Q92" i="30" l="1"/>
  <c r="R92" i="30"/>
  <c r="P92" i="30"/>
  <c r="Y32" i="30"/>
  <c r="T38" i="30"/>
  <c r="Z38" i="30" s="1"/>
  <c r="T31" i="30"/>
  <c r="Z31" i="30" s="1"/>
  <c r="T39" i="30"/>
  <c r="Z39" i="30" s="1"/>
  <c r="T24" i="30"/>
  <c r="T37" i="30"/>
  <c r="T43" i="30"/>
  <c r="Z43" i="30" s="1"/>
  <c r="T42" i="30"/>
  <c r="Z42" i="30" s="1"/>
  <c r="T32" i="30"/>
  <c r="T22" i="30"/>
  <c r="Z22" i="30" s="1"/>
  <c r="T44" i="30"/>
  <c r="T33" i="30"/>
  <c r="T27" i="30"/>
  <c r="Z27" i="30" s="1"/>
  <c r="T36" i="30"/>
  <c r="T29" i="30"/>
  <c r="T8" i="30"/>
  <c r="U24" i="30"/>
  <c r="U36" i="30"/>
  <c r="U41" i="30"/>
  <c r="Y41" i="30" s="1"/>
  <c r="T41" i="30"/>
  <c r="U35" i="30"/>
  <c r="T35" i="30"/>
  <c r="U30" i="30"/>
  <c r="T30" i="30"/>
  <c r="T34" i="30"/>
  <c r="U34" i="30"/>
  <c r="T26" i="30"/>
  <c r="Z26" i="30" s="1"/>
  <c r="T25" i="30"/>
  <c r="Z25" i="30" s="1"/>
  <c r="T10" i="30"/>
  <c r="U8" i="30"/>
  <c r="T28" i="30"/>
  <c r="Z28" i="30" s="1"/>
  <c r="T23" i="30"/>
  <c r="T21" i="30"/>
  <c r="Z21" i="30" s="1"/>
  <c r="U92" i="30" l="1"/>
  <c r="T92" i="30"/>
  <c r="Z32" i="30"/>
  <c r="Z41" i="30"/>
  <c r="Y24" i="30"/>
  <c r="Z24" i="30" s="1"/>
  <c r="V8" i="30"/>
  <c r="Y8" i="30" s="1"/>
  <c r="Z8" i="30" s="1"/>
  <c r="Y36" i="30"/>
  <c r="Z36" i="30" s="1"/>
  <c r="Y44" i="30"/>
  <c r="Z44" i="30" s="1"/>
  <c r="Y37" i="30"/>
  <c r="Z37" i="30" s="1"/>
  <c r="Y29" i="30"/>
  <c r="Z29" i="30" s="1"/>
  <c r="Y10" i="30"/>
  <c r="Z10" i="30" s="1"/>
  <c r="Y35" i="30"/>
  <c r="Z35" i="30" s="1"/>
  <c r="Y34" i="30"/>
  <c r="Z34" i="30" s="1"/>
  <c r="Y30" i="30"/>
  <c r="Z30" i="30" s="1"/>
  <c r="Y23" i="30"/>
  <c r="Z23" i="30" s="1"/>
  <c r="V92" i="30" l="1"/>
  <c r="Y33" i="30"/>
  <c r="Y92" i="30" s="1"/>
  <c r="Z33" i="30" l="1"/>
  <c r="Z92" i="30" s="1"/>
  <c r="A9" i="30" l="1"/>
</calcChain>
</file>

<file path=xl/sharedStrings.xml><?xml version="1.0" encoding="utf-8"?>
<sst xmlns="http://schemas.openxmlformats.org/spreadsheetml/2006/main" count="371" uniqueCount="297">
  <si>
    <t xml:space="preserve">Sl. </t>
  </si>
  <si>
    <t>Emp. Name</t>
  </si>
  <si>
    <t>Emp.</t>
  </si>
  <si>
    <t>Total</t>
  </si>
  <si>
    <t>Basic</t>
  </si>
  <si>
    <t>H.R.A.</t>
  </si>
  <si>
    <t>Conv.</t>
  </si>
  <si>
    <t>DEDUCTIONS</t>
  </si>
  <si>
    <t>TOT.</t>
  </si>
  <si>
    <t xml:space="preserve">Net </t>
  </si>
  <si>
    <t>No.</t>
  </si>
  <si>
    <t>Code</t>
  </si>
  <si>
    <t>Days</t>
  </si>
  <si>
    <t>Salary</t>
  </si>
  <si>
    <t>Amt.</t>
  </si>
  <si>
    <t>P.F.</t>
  </si>
  <si>
    <t>E.S.I.</t>
  </si>
  <si>
    <t>ADV.</t>
  </si>
  <si>
    <t>T.D.S.</t>
  </si>
  <si>
    <t>Ded.</t>
  </si>
  <si>
    <t>Payable</t>
  </si>
  <si>
    <t>PAN</t>
  </si>
  <si>
    <t>DOB</t>
  </si>
  <si>
    <t>IOVPS3540J</t>
  </si>
  <si>
    <t>12.06.1998</t>
  </si>
  <si>
    <t>09.05.2000</t>
  </si>
  <si>
    <t>KGEPS1362D</t>
  </si>
  <si>
    <t>DLSPK3701A</t>
  </si>
  <si>
    <t>12.10.1995</t>
  </si>
  <si>
    <t>GZXPK8125A</t>
  </si>
  <si>
    <t>20.03.2003</t>
  </si>
  <si>
    <t>AMWPY7351G</t>
  </si>
  <si>
    <t>30.11.1996</t>
  </si>
  <si>
    <t>SAMEER SINGH</t>
  </si>
  <si>
    <t>KQYPS1819D</t>
  </si>
  <si>
    <t>09.08.1999</t>
  </si>
  <si>
    <t>INCE.</t>
  </si>
  <si>
    <t>DEEPAK KUMAR SINGH</t>
  </si>
  <si>
    <t>ANIL KUMAR SHAW</t>
  </si>
  <si>
    <t>RAVINA KUMARI</t>
  </si>
  <si>
    <t>GATPS9839G</t>
  </si>
  <si>
    <t>PZBPS4274M</t>
  </si>
  <si>
    <t>16.08.1996</t>
  </si>
  <si>
    <t>12.12.2001</t>
  </si>
  <si>
    <t>UAN</t>
  </si>
  <si>
    <t>IP NO.</t>
  </si>
  <si>
    <t>DAYS</t>
  </si>
  <si>
    <t>N/A</t>
  </si>
  <si>
    <t>ROSHANI KUMARI</t>
  </si>
  <si>
    <t>08.09.1994</t>
  </si>
  <si>
    <t>DDXPK7034P</t>
  </si>
  <si>
    <t>ADITYA NARAYAN RAGHUVANSHI</t>
  </si>
  <si>
    <t>EYJPR4090A</t>
  </si>
  <si>
    <t>02.12.2002</t>
  </si>
  <si>
    <t>KARAN GUPTA</t>
  </si>
  <si>
    <t>KHUSHBOO CHAURASIA</t>
  </si>
  <si>
    <t>DFDPG7920E</t>
  </si>
  <si>
    <t>CWEPC7959L</t>
  </si>
  <si>
    <t>31.01.1999</t>
  </si>
  <si>
    <t>03.09.1999</t>
  </si>
  <si>
    <t>RAMASHANKAR SINGH</t>
  </si>
  <si>
    <t>SHIVAM SINGH</t>
  </si>
  <si>
    <t>LPXPS9433J</t>
  </si>
  <si>
    <t>KCOPS4240A</t>
  </si>
  <si>
    <t>07.05.2000</t>
  </si>
  <si>
    <t>28.01.2000</t>
  </si>
  <si>
    <t>RAJVEER SINGH</t>
  </si>
  <si>
    <t>KFIPS1408R</t>
  </si>
  <si>
    <t>09.11.2002</t>
  </si>
  <si>
    <t>01.07.1995</t>
  </si>
  <si>
    <t xml:space="preserve">       JOBVRITTA PVT LTD</t>
  </si>
  <si>
    <t>ABHISHEK SINGH</t>
  </si>
  <si>
    <t>ANUSHKA PANDEY</t>
  </si>
  <si>
    <t>CHIRAG SHARMA</t>
  </si>
  <si>
    <t>HYPPP9348A</t>
  </si>
  <si>
    <t>LYEPS6515F</t>
  </si>
  <si>
    <t>BHOOMIKA SHARMA</t>
  </si>
  <si>
    <t>RINKY</t>
  </si>
  <si>
    <t>ABU TURAB</t>
  </si>
  <si>
    <t>ANUPAM SINGH</t>
  </si>
  <si>
    <t>ANUJ RAI</t>
  </si>
  <si>
    <t>CBNPT7902A</t>
  </si>
  <si>
    <t>CLRPC2795N</t>
  </si>
  <si>
    <t>RVLPS8976N</t>
  </si>
  <si>
    <t>DWXPR7921F</t>
  </si>
  <si>
    <t>PYTPS9843F</t>
  </si>
  <si>
    <t>30.09.1996</t>
  </si>
  <si>
    <t>27.08.2002</t>
  </si>
  <si>
    <t>22.07.2005</t>
  </si>
  <si>
    <t>07.08.2003</t>
  </si>
  <si>
    <t>20.06.2001</t>
  </si>
  <si>
    <t>HEMANT HIMANSHU</t>
  </si>
  <si>
    <t>HIMANSHU KUMAR</t>
  </si>
  <si>
    <t>12.09.1983</t>
  </si>
  <si>
    <t>09.12.2003</t>
  </si>
  <si>
    <t>AEGPH4091G</t>
  </si>
  <si>
    <t>LKUPK3414R</t>
  </si>
  <si>
    <t>NITIN SHUKLA</t>
  </si>
  <si>
    <t>OQRPS4344N</t>
  </si>
  <si>
    <t>28.08.2002</t>
  </si>
  <si>
    <t>AMAN</t>
  </si>
  <si>
    <t>CJZPA7668E</t>
  </si>
  <si>
    <t>01.03.1997</t>
  </si>
  <si>
    <t>MRNPK2110B</t>
  </si>
  <si>
    <t>26.04.2005</t>
  </si>
  <si>
    <t>05.10.2005</t>
  </si>
  <si>
    <t>16.06.2001</t>
  </si>
  <si>
    <t>UMESH PANDEY</t>
  </si>
  <si>
    <t>IQAPP9075A</t>
  </si>
  <si>
    <t>05.07.2004</t>
  </si>
  <si>
    <t>MANSI SINGH</t>
  </si>
  <si>
    <t>PANKAJ YADAV</t>
  </si>
  <si>
    <t>ANKIT KUMAR YADAV</t>
  </si>
  <si>
    <t>BDWPY0252N</t>
  </si>
  <si>
    <t>BWZPY6655H</t>
  </si>
  <si>
    <t>28.02.2002</t>
  </si>
  <si>
    <t>01.07.2005</t>
  </si>
  <si>
    <t>AYUSH KUMAR</t>
  </si>
  <si>
    <t>SUMIT GUPTA</t>
  </si>
  <si>
    <t>MANOJ KUMAR</t>
  </si>
  <si>
    <t>KISHAN KUMAR SINGH</t>
  </si>
  <si>
    <t>ANCHAL SRIVASTAVA</t>
  </si>
  <si>
    <t>VISHAL SINGH</t>
  </si>
  <si>
    <t>NAVEEN RAI</t>
  </si>
  <si>
    <t>DVYPG2701N</t>
  </si>
  <si>
    <t>CUZPK4687G</t>
  </si>
  <si>
    <t>FUBPS1263R</t>
  </si>
  <si>
    <t>OIBPS0652D</t>
  </si>
  <si>
    <t>JENPS9668C</t>
  </si>
  <si>
    <t>CBMPR6754H</t>
  </si>
  <si>
    <t>23.03.2002</t>
  </si>
  <si>
    <t>03.02.1991</t>
  </si>
  <si>
    <t>01.12.2002</t>
  </si>
  <si>
    <t>16.06.1999</t>
  </si>
  <si>
    <t>09.09.1997</t>
  </si>
  <si>
    <t>NAJMUS SHAKIB</t>
  </si>
  <si>
    <t xml:space="preserve">GARGI SHARMA </t>
  </si>
  <si>
    <t>ABHISHEK SHARMA</t>
  </si>
  <si>
    <t>CHANDAN YADAV</t>
  </si>
  <si>
    <t>ODSPS1922N</t>
  </si>
  <si>
    <t>NRVPS1064K</t>
  </si>
  <si>
    <t>LPPPS3674P</t>
  </si>
  <si>
    <t>BJKPY7104F</t>
  </si>
  <si>
    <t>31.03.2003</t>
  </si>
  <si>
    <t>02.03.2003</t>
  </si>
  <si>
    <t>21.10.1999</t>
  </si>
  <si>
    <t>01.01.2005</t>
  </si>
  <si>
    <t>ABHAY PRABHAKAR SINGH</t>
  </si>
  <si>
    <t>TBJPS4287Q</t>
  </si>
  <si>
    <t>31.01.2005</t>
  </si>
  <si>
    <t>PRASHANT BAWANKAR</t>
  </si>
  <si>
    <t>FHOPB4015A</t>
  </si>
  <si>
    <t>13.10.2001</t>
  </si>
  <si>
    <t>MALA KUMARI</t>
  </si>
  <si>
    <t>SHWETABH YADAV</t>
  </si>
  <si>
    <t>VARUN MUKHERJEE</t>
  </si>
  <si>
    <t>LAKSHYA UPADHYAY</t>
  </si>
  <si>
    <t>SHUBHANJALI SRIVASTAVA</t>
  </si>
  <si>
    <t>EOOPM5323E</t>
  </si>
  <si>
    <t>ANKPU2002R</t>
  </si>
  <si>
    <t>LXLPS0422H</t>
  </si>
  <si>
    <t>10.02.1995</t>
  </si>
  <si>
    <t>07.11.2003</t>
  </si>
  <si>
    <t>07.04.2001</t>
  </si>
  <si>
    <t>AKASH CHAUDHARY</t>
  </si>
  <si>
    <t>COXPC5329H</t>
  </si>
  <si>
    <t>15.03.2003</t>
  </si>
  <si>
    <t>VIVEK KUMAR</t>
  </si>
  <si>
    <t>ASHUTOSH KUMAR</t>
  </si>
  <si>
    <t>GAURAV SRIVASTAVA</t>
  </si>
  <si>
    <t>ARUN DUBEY</t>
  </si>
  <si>
    <t>ADITI JAISWAL</t>
  </si>
  <si>
    <t>VIVEK PANDEY</t>
  </si>
  <si>
    <t>AYUSH KUMAR VISHWAKARMA</t>
  </si>
  <si>
    <t>Comp.</t>
  </si>
  <si>
    <t>Nexus TV</t>
  </si>
  <si>
    <t>18.6.2000</t>
  </si>
  <si>
    <t>30.10.1990</t>
  </si>
  <si>
    <t>05.04.2001</t>
  </si>
  <si>
    <t>20.02.2003</t>
  </si>
  <si>
    <t>17.07.2002</t>
  </si>
  <si>
    <t>22.01.2007</t>
  </si>
  <si>
    <t>11.4.2004</t>
  </si>
  <si>
    <t>20.01.2002</t>
  </si>
  <si>
    <t>11.04.2004</t>
  </si>
  <si>
    <t>17.06.1994</t>
  </si>
  <si>
    <t>KXJPK6077F</t>
  </si>
  <si>
    <t>CJSPK2815G</t>
  </si>
  <si>
    <t>LZHPS5117D</t>
  </si>
  <si>
    <t>GXRPD9156C</t>
  </si>
  <si>
    <t>CJTPJ6458B</t>
  </si>
  <si>
    <t>IWCPP8263C</t>
  </si>
  <si>
    <t>NYBPK0576H</t>
  </si>
  <si>
    <t>RGUPS8661A</t>
  </si>
  <si>
    <t>CIEPV4957R</t>
  </si>
  <si>
    <t>ETPPS8113E</t>
  </si>
  <si>
    <t>BVB</t>
  </si>
  <si>
    <t>NAVNIT GIRIJA SINGH</t>
  </si>
  <si>
    <t>SHAGUN KASHYAP</t>
  </si>
  <si>
    <t>SHIVAM KUMAR</t>
  </si>
  <si>
    <t>AMAN THAKUR</t>
  </si>
  <si>
    <t>MADHUR KANT GUPTA</t>
  </si>
  <si>
    <t>AAYUSH KUMAR SRIVASTAVA</t>
  </si>
  <si>
    <t>MFCPK0427C</t>
  </si>
  <si>
    <t>CATPT1756M</t>
  </si>
  <si>
    <t>ELOPG8352L</t>
  </si>
  <si>
    <t>QBVPK7966R</t>
  </si>
  <si>
    <t>QNAPS0216M</t>
  </si>
  <si>
    <t>04.07.2004</t>
  </si>
  <si>
    <t>30.11.2002</t>
  </si>
  <si>
    <t>27.11.2004</t>
  </si>
  <si>
    <t>01.02.2007</t>
  </si>
  <si>
    <t>02.02.2004</t>
  </si>
  <si>
    <t>SAURAV ANAND</t>
  </si>
  <si>
    <t>KHUSHBOO GIRI</t>
  </si>
  <si>
    <t>EOFPA9973B</t>
  </si>
  <si>
    <t>DZBPG5853A</t>
  </si>
  <si>
    <t>16.10.2004</t>
  </si>
  <si>
    <t>03.06.2005</t>
  </si>
  <si>
    <t>JAYA DIXIT</t>
  </si>
  <si>
    <t>-</t>
  </si>
  <si>
    <t>SHRUTI SHARMA</t>
  </si>
  <si>
    <t xml:space="preserve">SNEHA </t>
  </si>
  <si>
    <t>VIVEK BHASKAR</t>
  </si>
  <si>
    <t xml:space="preserve">ASHUTOSH VISHWAKARMA </t>
  </si>
  <si>
    <t xml:space="preserve">VISHAL KUMAR </t>
  </si>
  <si>
    <t>ABHISHEK KUMAR</t>
  </si>
  <si>
    <t>VAISHNVI SRIVASTAVA</t>
  </si>
  <si>
    <t>SUNPS5253N</t>
  </si>
  <si>
    <t>SHIPS4977K</t>
  </si>
  <si>
    <t>EDDPB2071J</t>
  </si>
  <si>
    <t>CNCPV0992D</t>
  </si>
  <si>
    <t>MDUPK6756J</t>
  </si>
  <si>
    <t>GMVPK9318C</t>
  </si>
  <si>
    <t>UJVPS4297H</t>
  </si>
  <si>
    <t>10.10.2005</t>
  </si>
  <si>
    <t>07.09.2005</t>
  </si>
  <si>
    <t>14.11.1999</t>
  </si>
  <si>
    <t>28.07.2004</t>
  </si>
  <si>
    <t>13.09.1998</t>
  </si>
  <si>
    <t>05.04.1997</t>
  </si>
  <si>
    <t>12.08.2006</t>
  </si>
  <si>
    <t>GAURAV PATHAK</t>
  </si>
  <si>
    <t>MOHIT KUMAR</t>
  </si>
  <si>
    <t>NISHANT RAGHAV</t>
  </si>
  <si>
    <t>DTRPD6872G</t>
  </si>
  <si>
    <t>JDHPK5238R</t>
  </si>
  <si>
    <t>EFDPR2645N</t>
  </si>
  <si>
    <t>SQBPS3426P</t>
  </si>
  <si>
    <t>LZTPK7421A</t>
  </si>
  <si>
    <t>TUZPS3084Q</t>
  </si>
  <si>
    <t>23.08.2002</t>
  </si>
  <si>
    <t>01.09.2004</t>
  </si>
  <si>
    <t>23.09.2004</t>
  </si>
  <si>
    <t>20.02.2005</t>
  </si>
  <si>
    <t>10.05.2004</t>
  </si>
  <si>
    <t>04.02.2008</t>
  </si>
  <si>
    <t>Huthunts</t>
  </si>
  <si>
    <t>SALARY FOR THE MONTH OF APRIL 2026</t>
  </si>
  <si>
    <t>UTAKARSH UPADHYAY</t>
  </si>
  <si>
    <t>KARTIK SINGH</t>
  </si>
  <si>
    <t xml:space="preserve">MD NOOR </t>
  </si>
  <si>
    <t xml:space="preserve">SARTHAK RAJ </t>
  </si>
  <si>
    <t xml:space="preserve">AKASH YADAV </t>
  </si>
  <si>
    <t xml:space="preserve">SHASHIKANT CHAUBEY </t>
  </si>
  <si>
    <t>TANISHA SINGH</t>
  </si>
  <si>
    <t>18.07.1997</t>
  </si>
  <si>
    <t>30.03.2005</t>
  </si>
  <si>
    <t>06.11.2001</t>
  </si>
  <si>
    <t>12.06.2002</t>
  </si>
  <si>
    <t>05.11.2002</t>
  </si>
  <si>
    <t>14.04.1998</t>
  </si>
  <si>
    <t>03.06.2003</t>
  </si>
  <si>
    <t>AGSPU5489P</t>
  </si>
  <si>
    <t>TLAPS0798R</t>
  </si>
  <si>
    <t>CPRPN3787B</t>
  </si>
  <si>
    <t>FBLPR2659F</t>
  </si>
  <si>
    <t>BFSPY4619H</t>
  </si>
  <si>
    <t>BHRPC4581K</t>
  </si>
  <si>
    <t>RLVPS5402M</t>
  </si>
  <si>
    <t>PRIYANSHI</t>
  </si>
  <si>
    <t>FHRPP55578</t>
  </si>
  <si>
    <t>05.05.2004</t>
  </si>
  <si>
    <t>NIKITA SINGH</t>
  </si>
  <si>
    <t>BABY KUMARI</t>
  </si>
  <si>
    <t>TEJ SHREE SINGH</t>
  </si>
  <si>
    <t>Present</t>
  </si>
  <si>
    <t>Reserve Leave after Apr'26</t>
  </si>
  <si>
    <t>Casual Leave after Apr'26</t>
  </si>
  <si>
    <t>Reserve Leave after Mar'26</t>
  </si>
  <si>
    <t>Casual Leave after Mar'26</t>
  </si>
  <si>
    <t>LWD 10/04/2026</t>
  </si>
  <si>
    <t>LWD 02/04/2026</t>
  </si>
  <si>
    <t>LWD 08/04/2026</t>
  </si>
  <si>
    <t>LWD16/04/2026</t>
  </si>
  <si>
    <t>LWD 19/04/2026</t>
  </si>
  <si>
    <t>Resigned 24/04/2026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</si>
</sst>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6"/>
      <name val="Arial"/>
      <family val="2"/>
    </font>
    <font>
      <b/>
      <sz val="20"/>
      <name val="Arial"/>
      <family val="2"/>
    </font>
    <font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4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88">
    <xf numFmtId="0" fontId="0" fillId="0" borderId="0" xfId="0"/>
    <xf numFmtId="0" fontId="10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9" fillId="0" borderId="1" xfId="0" applyFont="1" applyFill="1" applyBorder="1"/>
    <xf numFmtId="0" fontId="2" fillId="0" borderId="0" xfId="0" applyFont="1" applyFill="1"/>
    <xf numFmtId="0" fontId="4" fillId="0" borderId="0" xfId="0" applyFont="1" applyFill="1"/>
    <xf numFmtId="0" fontId="2" fillId="0" borderId="1" xfId="0" applyFont="1" applyFill="1" applyBorder="1"/>
    <xf numFmtId="0" fontId="9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shrinkToFit="1"/>
    </xf>
    <xf numFmtId="0" fontId="9" fillId="0" borderId="0" xfId="0" applyFont="1" applyFill="1" applyAlignment="1">
      <alignment horizontal="left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1" fontId="9" fillId="0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right" vertical="center"/>
    </xf>
    <xf numFmtId="1" fontId="2" fillId="0" borderId="1" xfId="0" applyNumberFormat="1" applyFont="1" applyFill="1" applyBorder="1" applyAlignment="1">
      <alignment vertical="center"/>
    </xf>
    <xf numFmtId="0" fontId="9" fillId="0" borderId="5" xfId="0" applyFont="1" applyFill="1" applyBorder="1"/>
    <xf numFmtId="49" fontId="8" fillId="0" borderId="1" xfId="0" applyNumberFormat="1" applyFont="1" applyFill="1" applyBorder="1"/>
    <xf numFmtId="0" fontId="2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/>
    </xf>
    <xf numFmtId="49" fontId="2" fillId="0" borderId="0" xfId="0" applyNumberFormat="1" applyFont="1" applyFill="1" applyAlignment="1">
      <alignment horizontal="center"/>
    </xf>
    <xf numFmtId="0" fontId="6" fillId="0" borderId="0" xfId="0" applyFont="1" applyFill="1"/>
    <xf numFmtId="1" fontId="4" fillId="0" borderId="0" xfId="0" applyNumberFormat="1" applyFont="1" applyFill="1"/>
    <xf numFmtId="49" fontId="4" fillId="0" borderId="0" xfId="0" applyNumberFormat="1" applyFont="1" applyFill="1" applyAlignment="1">
      <alignment horizontal="center"/>
    </xf>
    <xf numFmtId="0" fontId="5" fillId="0" borderId="0" xfId="0" applyFont="1" applyFill="1"/>
    <xf numFmtId="1" fontId="2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vertical="center"/>
    </xf>
    <xf numFmtId="1" fontId="10" fillId="2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0" fontId="0" fillId="0" borderId="0" xfId="0" applyFill="1"/>
    <xf numFmtId="0" fontId="16" fillId="0" borderId="1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164" fontId="4" fillId="0" borderId="0" xfId="0" applyNumberFormat="1" applyFont="1" applyFill="1" applyAlignment="1">
      <alignment horizontal="left"/>
    </xf>
    <xf numFmtId="164" fontId="5" fillId="0" borderId="0" xfId="0" applyNumberFormat="1" applyFont="1" applyFill="1" applyAlignment="1">
      <alignment horizontal="left"/>
    </xf>
    <xf numFmtId="164" fontId="9" fillId="0" borderId="0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Fill="1" applyBorder="1"/>
    <xf numFmtId="1" fontId="9" fillId="0" borderId="0" xfId="0" applyNumberFormat="1" applyFont="1" applyFill="1" applyBorder="1" applyAlignment="1">
      <alignment horizontal="center"/>
    </xf>
    <xf numFmtId="0" fontId="4" fillId="0" borderId="0" xfId="0" applyFont="1" applyFill="1" applyAlignment="1"/>
    <xf numFmtId="164" fontId="10" fillId="0" borderId="1" xfId="0" applyNumberFormat="1" applyFont="1" applyFill="1" applyBorder="1" applyAlignment="1">
      <alignment horizontal="center"/>
    </xf>
    <xf numFmtId="0" fontId="16" fillId="0" borderId="1" xfId="0" applyFont="1" applyFill="1" applyBorder="1" applyAlignment="1">
      <alignment horizontal="right" vertical="center"/>
    </xf>
    <xf numFmtId="0" fontId="17" fillId="0" borderId="1" xfId="0" applyFont="1" applyFill="1" applyBorder="1" applyAlignment="1">
      <alignment horizontal="center" vertical="center"/>
    </xf>
    <xf numFmtId="1" fontId="16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left"/>
    </xf>
    <xf numFmtId="0" fontId="18" fillId="0" borderId="1" xfId="0" applyFont="1" applyFill="1" applyBorder="1"/>
    <xf numFmtId="164" fontId="17" fillId="0" borderId="1" xfId="0" applyNumberFormat="1" applyFont="1" applyFill="1" applyBorder="1" applyAlignment="1">
      <alignment horizontal="center"/>
    </xf>
    <xf numFmtId="0" fontId="16" fillId="0" borderId="1" xfId="0" applyFont="1" applyFill="1" applyBorder="1"/>
    <xf numFmtId="0" fontId="19" fillId="0" borderId="1" xfId="0" applyFont="1" applyFill="1" applyBorder="1" applyAlignment="1">
      <alignment horizontal="left"/>
    </xf>
    <xf numFmtId="1" fontId="17" fillId="0" borderId="1" xfId="0" applyNumberFormat="1" applyFont="1" applyFill="1" applyBorder="1" applyAlignment="1">
      <alignment horizontal="center" vertical="center"/>
    </xf>
    <xf numFmtId="1" fontId="16" fillId="0" borderId="1" xfId="0" applyNumberFormat="1" applyFont="1" applyFill="1" applyBorder="1" applyAlignment="1">
      <alignment vertical="center"/>
    </xf>
    <xf numFmtId="0" fontId="17" fillId="0" borderId="5" xfId="0" applyFont="1" applyFill="1" applyBorder="1"/>
    <xf numFmtId="0" fontId="16" fillId="0" borderId="1" xfId="0" applyFont="1" applyFill="1" applyBorder="1" applyAlignment="1">
      <alignment horizontal="center" vertical="center"/>
    </xf>
    <xf numFmtId="14" fontId="8" fillId="0" borderId="1" xfId="0" applyNumberFormat="1" applyFont="1" applyFill="1" applyBorder="1"/>
    <xf numFmtId="1" fontId="2" fillId="0" borderId="5" xfId="0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left"/>
    </xf>
    <xf numFmtId="1" fontId="9" fillId="0" borderId="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right" vertical="center"/>
    </xf>
    <xf numFmtId="1" fontId="9" fillId="0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left"/>
    </xf>
    <xf numFmtId="164" fontId="9" fillId="3" borderId="1" xfId="0" applyNumberFormat="1" applyFont="1" applyFill="1" applyBorder="1" applyAlignment="1">
      <alignment horizontal="center"/>
    </xf>
    <xf numFmtId="0" fontId="9" fillId="0" borderId="1" xfId="0" applyNumberFormat="1" applyFont="1" applyFill="1" applyBorder="1" applyAlignment="1">
      <alignment horizontal="center"/>
    </xf>
    <xf numFmtId="0" fontId="9" fillId="0" borderId="1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/>
    </xf>
    <xf numFmtId="49" fontId="9" fillId="0" borderId="5" xfId="0" applyNumberFormat="1" applyFont="1" applyFill="1" applyBorder="1" applyAlignment="1">
      <alignment vertical="center" wrapText="1"/>
    </xf>
    <xf numFmtId="49" fontId="20" fillId="0" borderId="5" xfId="0" applyNumberFormat="1" applyFont="1" applyFill="1" applyBorder="1" applyAlignment="1">
      <alignment vertical="center" wrapText="1"/>
    </xf>
    <xf numFmtId="1" fontId="2" fillId="0" borderId="5" xfId="0" applyNumberFormat="1" applyFont="1" applyFill="1" applyBorder="1" applyAlignment="1">
      <alignment vertical="center"/>
    </xf>
    <xf numFmtId="0" fontId="16" fillId="0" borderId="5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left"/>
    </xf>
    <xf numFmtId="0" fontId="21" fillId="0" borderId="1" xfId="0" applyFont="1" applyFill="1" applyBorder="1" applyAlignment="1">
      <alignment horizontal="center"/>
    </xf>
    <xf numFmtId="0" fontId="22" fillId="0" borderId="1" xfId="0" applyFont="1" applyFill="1" applyBorder="1" applyAlignment="1">
      <alignment horizontal="center"/>
    </xf>
    <xf numFmtId="164" fontId="17" fillId="0" borderId="0" xfId="0" applyNumberFormat="1" applyFont="1" applyFill="1" applyBorder="1" applyAlignment="1">
      <alignment horizontal="left"/>
    </xf>
    <xf numFmtId="0" fontId="17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</cellXfs>
  <cellStyles count="4">
    <cellStyle name="Normal" xfId="0" builtinId="0"/>
    <cellStyle name="Normal 2" xfId="1"/>
    <cellStyle name="Normal 2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96"/>
  <sheetViews>
    <sheetView tabSelected="1" topLeftCell="C1" zoomScale="70" zoomScaleNormal="70" zoomScaleSheetLayoutView="70" workbookViewId="0">
      <selection activeCell="AC51" sqref="AC51"/>
    </sheetView>
  </sheetViews>
  <sheetFormatPr defaultColWidth="9.21875" defaultRowHeight="18" x14ac:dyDescent="0.35"/>
  <cols>
    <col min="1" max="1" width="6.21875" style="5" customWidth="1"/>
    <col min="2" max="2" width="15.21875" style="5" bestFit="1" customWidth="1"/>
    <col min="3" max="3" width="12.88671875" style="5" bestFit="1" customWidth="1"/>
    <col min="4" max="4" width="9.77734375" style="5" bestFit="1" customWidth="1"/>
    <col min="5" max="5" width="33.109375" style="5" bestFit="1" customWidth="1"/>
    <col min="6" max="6" width="17" style="5" customWidth="1"/>
    <col min="7" max="7" width="11.77734375" style="5" customWidth="1"/>
    <col min="8" max="8" width="7.21875" style="5" customWidth="1"/>
    <col min="9" max="9" width="8.21875" style="5" bestFit="1" customWidth="1"/>
    <col min="10" max="10" width="7.21875" style="34" customWidth="1"/>
    <col min="11" max="12" width="7.44140625" style="5" customWidth="1"/>
    <col min="13" max="13" width="7.77734375" style="5" customWidth="1"/>
    <col min="14" max="14" width="8" style="5" customWidth="1"/>
    <col min="15" max="15" width="7.6640625" style="5" bestFit="1" customWidth="1"/>
    <col min="16" max="16" width="8.88671875" style="5" bestFit="1" customWidth="1"/>
    <col min="17" max="18" width="7.77734375" style="5" bestFit="1" customWidth="1"/>
    <col min="19" max="19" width="6.88671875" style="5" bestFit="1" customWidth="1"/>
    <col min="20" max="20" width="8.88671875" style="5" bestFit="1" customWidth="1"/>
    <col min="21" max="21" width="8.77734375" style="5" customWidth="1"/>
    <col min="22" max="22" width="6.21875" style="5" customWidth="1"/>
    <col min="23" max="23" width="8" style="5" customWidth="1"/>
    <col min="24" max="24" width="6.77734375" style="5" customWidth="1"/>
    <col min="25" max="25" width="8.77734375" style="5" customWidth="1"/>
    <col min="26" max="26" width="11.21875" style="5" customWidth="1"/>
    <col min="27" max="27" width="9.5546875" style="24" customWidth="1"/>
    <col min="28" max="28" width="7.77734375" style="34" customWidth="1"/>
    <col min="29" max="29" width="6.77734375" style="42" bestFit="1" customWidth="1"/>
    <col min="30" max="30" width="3.77734375" bestFit="1" customWidth="1"/>
    <col min="31" max="31" width="10.77734375" customWidth="1"/>
    <col min="32" max="32" width="9.6640625" customWidth="1"/>
    <col min="34" max="34" width="18.5546875" bestFit="1" customWidth="1"/>
  </cols>
  <sheetData>
    <row r="1" spans="1:34" s="5" customFormat="1" ht="20.25" customHeight="1" x14ac:dyDescent="0.35">
      <c r="A1" s="80" t="s">
        <v>70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39"/>
    </row>
    <row r="2" spans="1:34" s="5" customFormat="1" ht="18.75" customHeight="1" x14ac:dyDescent="0.3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39"/>
    </row>
    <row r="3" spans="1:34" s="5" customFormat="1" x14ac:dyDescent="0.35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40" t="s">
        <v>46</v>
      </c>
      <c r="AD3" s="25">
        <v>30</v>
      </c>
    </row>
    <row r="4" spans="1:34" s="5" customFormat="1" x14ac:dyDescent="0.35">
      <c r="A4" s="6"/>
      <c r="B4" s="6"/>
      <c r="C4" s="6"/>
      <c r="D4" s="6"/>
      <c r="E4" s="6"/>
      <c r="F4" s="6"/>
      <c r="G4" s="6"/>
      <c r="H4" s="6"/>
      <c r="I4" s="6"/>
      <c r="J4" s="33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35"/>
      <c r="AB4" s="35"/>
      <c r="AC4" s="39"/>
    </row>
    <row r="5" spans="1:34" s="5" customFormat="1" ht="21" customHeight="1" x14ac:dyDescent="0.4">
      <c r="A5" s="85" t="s">
        <v>258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7"/>
      <c r="AA5" s="35"/>
      <c r="AB5" s="35"/>
      <c r="AC5" s="39"/>
      <c r="AE5" s="45"/>
      <c r="AF5" s="45"/>
      <c r="AG5" s="45"/>
      <c r="AH5" s="45"/>
    </row>
    <row r="6" spans="1:34" s="5" customFormat="1" ht="18.45" customHeight="1" x14ac:dyDescent="0.35">
      <c r="A6" s="7" t="s">
        <v>0</v>
      </c>
      <c r="B6" s="7" t="s">
        <v>44</v>
      </c>
      <c r="C6" s="7" t="s">
        <v>45</v>
      </c>
      <c r="D6" s="7" t="s">
        <v>174</v>
      </c>
      <c r="E6" s="7" t="s">
        <v>1</v>
      </c>
      <c r="F6" s="7" t="s">
        <v>21</v>
      </c>
      <c r="G6" s="7" t="s">
        <v>22</v>
      </c>
      <c r="H6" s="7" t="s">
        <v>2</v>
      </c>
      <c r="I6" s="7" t="s">
        <v>286</v>
      </c>
      <c r="J6" s="7" t="s">
        <v>3</v>
      </c>
      <c r="K6" s="7" t="s">
        <v>4</v>
      </c>
      <c r="L6" s="7" t="s">
        <v>5</v>
      </c>
      <c r="M6" s="8" t="s">
        <v>6</v>
      </c>
      <c r="N6" s="8"/>
      <c r="O6" s="7" t="s">
        <v>3</v>
      </c>
      <c r="P6" s="7" t="s">
        <v>4</v>
      </c>
      <c r="Q6" s="7" t="s">
        <v>5</v>
      </c>
      <c r="R6" s="8" t="s">
        <v>6</v>
      </c>
      <c r="S6" s="8" t="s">
        <v>36</v>
      </c>
      <c r="T6" s="7" t="s">
        <v>3</v>
      </c>
      <c r="U6" s="82" t="s">
        <v>7</v>
      </c>
      <c r="V6" s="83"/>
      <c r="W6" s="83"/>
      <c r="X6" s="84"/>
      <c r="Y6" s="7" t="s">
        <v>8</v>
      </c>
      <c r="Z6" s="7" t="s">
        <v>9</v>
      </c>
      <c r="AA6" s="70"/>
      <c r="AB6" s="70"/>
      <c r="AC6" s="39"/>
      <c r="AE6" s="71"/>
      <c r="AF6" s="71"/>
      <c r="AG6" s="45"/>
      <c r="AH6" s="45"/>
    </row>
    <row r="7" spans="1:34" s="5" customFormat="1" ht="62.4" x14ac:dyDescent="0.35">
      <c r="A7" s="7" t="s">
        <v>10</v>
      </c>
      <c r="B7" s="7"/>
      <c r="C7" s="7"/>
      <c r="D7" s="7"/>
      <c r="E7" s="7"/>
      <c r="F7" s="7"/>
      <c r="G7" s="7"/>
      <c r="H7" s="7" t="s">
        <v>11</v>
      </c>
      <c r="I7" s="7" t="s">
        <v>12</v>
      </c>
      <c r="J7" s="7" t="s">
        <v>12</v>
      </c>
      <c r="K7" s="7" t="s">
        <v>13</v>
      </c>
      <c r="L7" s="7" t="s">
        <v>14</v>
      </c>
      <c r="M7" s="7" t="s">
        <v>14</v>
      </c>
      <c r="N7" s="7"/>
      <c r="O7" s="7" t="s">
        <v>14</v>
      </c>
      <c r="P7" s="7" t="s">
        <v>13</v>
      </c>
      <c r="Q7" s="7" t="s">
        <v>14</v>
      </c>
      <c r="R7" s="7" t="s">
        <v>14</v>
      </c>
      <c r="S7" s="9"/>
      <c r="T7" s="7" t="s">
        <v>14</v>
      </c>
      <c r="U7" s="7" t="s">
        <v>15</v>
      </c>
      <c r="V7" s="7" t="s">
        <v>16</v>
      </c>
      <c r="W7" s="7" t="s">
        <v>17</v>
      </c>
      <c r="X7" s="7" t="s">
        <v>18</v>
      </c>
      <c r="Y7" s="7" t="s">
        <v>19</v>
      </c>
      <c r="Z7" s="7" t="s">
        <v>20</v>
      </c>
      <c r="AA7" s="70" t="s">
        <v>287</v>
      </c>
      <c r="AB7" s="70" t="s">
        <v>288</v>
      </c>
      <c r="AC7" s="41"/>
      <c r="AE7" s="71" t="s">
        <v>289</v>
      </c>
      <c r="AF7" s="71" t="s">
        <v>290</v>
      </c>
    </row>
    <row r="8" spans="1:34" x14ac:dyDescent="0.35">
      <c r="A8" s="10">
        <v>1</v>
      </c>
      <c r="B8" s="26">
        <v>101461481670</v>
      </c>
      <c r="C8" s="32">
        <v>2810718700</v>
      </c>
      <c r="D8" s="32" t="s">
        <v>175</v>
      </c>
      <c r="E8" s="74" t="s">
        <v>100</v>
      </c>
      <c r="F8" s="2" t="s">
        <v>101</v>
      </c>
      <c r="G8" s="2" t="s">
        <v>102</v>
      </c>
      <c r="H8" s="67">
        <v>84</v>
      </c>
      <c r="I8" s="75">
        <v>30</v>
      </c>
      <c r="J8" s="14">
        <v>30</v>
      </c>
      <c r="K8" s="6">
        <v>13580</v>
      </c>
      <c r="L8" s="6">
        <v>2420</v>
      </c>
      <c r="M8" s="6">
        <v>0</v>
      </c>
      <c r="N8" s="11">
        <f t="shared" ref="N8:N39" si="0">K8+L8+M8</f>
        <v>16000</v>
      </c>
      <c r="O8" s="12">
        <f t="shared" ref="O8:O39" si="1">N8</f>
        <v>16000</v>
      </c>
      <c r="P8" s="26">
        <f t="shared" ref="P8:P39" si="2">ROUND(K8/$AD$3*J8,0)</f>
        <v>13580</v>
      </c>
      <c r="Q8" s="26">
        <f t="shared" ref="Q8:Q39" si="3">ROUND(L8/$AD$3*J8,0)</f>
        <v>2420</v>
      </c>
      <c r="R8" s="26">
        <f t="shared" ref="R8:R39" si="4">ROUND(M8/$AD$3*J8,0)</f>
        <v>0</v>
      </c>
      <c r="S8" s="11"/>
      <c r="T8" s="13">
        <f t="shared" ref="T8:T39" si="5">P8+Q8+R8</f>
        <v>16000</v>
      </c>
      <c r="U8" s="15">
        <f t="shared" ref="U8:U39" si="6">ROUND(IF(K8&gt;15000,(15000/$AD$3*J8)*12%,P8*12%)*1,0)</f>
        <v>1630</v>
      </c>
      <c r="V8" s="16">
        <f>ROUNDUP(T8*0.75%,0)</f>
        <v>120</v>
      </c>
      <c r="W8" s="37"/>
      <c r="X8" s="17"/>
      <c r="Y8" s="13">
        <f t="shared" ref="Y8:Y39" si="7">U8+V8+W8+X8</f>
        <v>1750</v>
      </c>
      <c r="Z8" s="13">
        <f t="shared" ref="Z8:Z39" si="8">T8-Y8</f>
        <v>14250</v>
      </c>
      <c r="AA8" s="46">
        <v>15</v>
      </c>
      <c r="AB8" s="46">
        <v>2</v>
      </c>
      <c r="AC8" s="41"/>
      <c r="AD8" s="41"/>
      <c r="AE8" s="14">
        <v>14</v>
      </c>
      <c r="AF8" s="14">
        <v>1.5</v>
      </c>
    </row>
    <row r="9" spans="1:34" x14ac:dyDescent="0.35">
      <c r="A9" s="10">
        <f>A8+1</f>
        <v>2</v>
      </c>
      <c r="B9" s="26">
        <v>102175818983</v>
      </c>
      <c r="C9" s="32">
        <v>6724439627</v>
      </c>
      <c r="D9" s="32"/>
      <c r="E9" s="74" t="s">
        <v>123</v>
      </c>
      <c r="F9" s="2" t="s">
        <v>129</v>
      </c>
      <c r="G9" s="2" t="s">
        <v>134</v>
      </c>
      <c r="H9" s="67">
        <v>111</v>
      </c>
      <c r="I9" s="33">
        <v>30</v>
      </c>
      <c r="J9" s="14">
        <v>30</v>
      </c>
      <c r="K9" s="6">
        <v>13580</v>
      </c>
      <c r="L9" s="6">
        <v>10800</v>
      </c>
      <c r="M9" s="6">
        <v>2620</v>
      </c>
      <c r="N9" s="11">
        <f t="shared" si="0"/>
        <v>27000</v>
      </c>
      <c r="O9" s="12">
        <f t="shared" si="1"/>
        <v>27000</v>
      </c>
      <c r="P9" s="26">
        <f t="shared" si="2"/>
        <v>13580</v>
      </c>
      <c r="Q9" s="26">
        <f t="shared" si="3"/>
        <v>10800</v>
      </c>
      <c r="R9" s="26">
        <f t="shared" si="4"/>
        <v>2620</v>
      </c>
      <c r="S9" s="11"/>
      <c r="T9" s="13">
        <f t="shared" si="5"/>
        <v>27000</v>
      </c>
      <c r="U9" s="15">
        <f t="shared" si="6"/>
        <v>1630</v>
      </c>
      <c r="V9" s="30">
        <v>0</v>
      </c>
      <c r="W9" s="37"/>
      <c r="X9" s="17"/>
      <c r="Y9" s="13">
        <f t="shared" si="7"/>
        <v>1630</v>
      </c>
      <c r="Z9" s="13">
        <f t="shared" si="8"/>
        <v>25370</v>
      </c>
      <c r="AA9" s="46">
        <v>8</v>
      </c>
      <c r="AB9" s="46">
        <v>2</v>
      </c>
      <c r="AC9" s="41"/>
      <c r="AD9" s="41"/>
      <c r="AE9" s="14">
        <v>7</v>
      </c>
      <c r="AF9" s="14">
        <v>1.5</v>
      </c>
    </row>
    <row r="10" spans="1:34" x14ac:dyDescent="0.35">
      <c r="A10" s="10">
        <f t="shared" ref="A10:A73" si="9">A9+1</f>
        <v>3</v>
      </c>
      <c r="B10" s="26">
        <v>102168262920</v>
      </c>
      <c r="C10" s="32">
        <v>2810718697</v>
      </c>
      <c r="D10" s="32"/>
      <c r="E10" s="74" t="s">
        <v>97</v>
      </c>
      <c r="F10" s="2" t="s">
        <v>98</v>
      </c>
      <c r="G10" s="2" t="s">
        <v>99</v>
      </c>
      <c r="H10" s="67">
        <v>116</v>
      </c>
      <c r="I10" s="79">
        <v>29</v>
      </c>
      <c r="J10" s="14">
        <v>30</v>
      </c>
      <c r="K10" s="6">
        <v>14787</v>
      </c>
      <c r="L10" s="6">
        <v>11830</v>
      </c>
      <c r="M10" s="6">
        <v>2957</v>
      </c>
      <c r="N10" s="11">
        <f t="shared" si="0"/>
        <v>29574</v>
      </c>
      <c r="O10" s="12">
        <f t="shared" si="1"/>
        <v>29574</v>
      </c>
      <c r="P10" s="26">
        <f t="shared" si="2"/>
        <v>14787</v>
      </c>
      <c r="Q10" s="26">
        <f t="shared" si="3"/>
        <v>11830</v>
      </c>
      <c r="R10" s="26">
        <f t="shared" si="4"/>
        <v>2957</v>
      </c>
      <c r="S10" s="11"/>
      <c r="T10" s="13">
        <f t="shared" si="5"/>
        <v>29574</v>
      </c>
      <c r="U10" s="15">
        <f t="shared" si="6"/>
        <v>1774</v>
      </c>
      <c r="V10" s="30">
        <v>0</v>
      </c>
      <c r="W10" s="37"/>
      <c r="X10" s="17"/>
      <c r="Y10" s="13">
        <f t="shared" si="7"/>
        <v>1774</v>
      </c>
      <c r="Z10" s="13">
        <f t="shared" si="8"/>
        <v>27800</v>
      </c>
      <c r="AA10" s="46">
        <v>7</v>
      </c>
      <c r="AB10" s="46">
        <v>0.5</v>
      </c>
      <c r="AC10" s="41"/>
      <c r="AD10" s="41"/>
      <c r="AE10" s="14">
        <v>6</v>
      </c>
      <c r="AF10" s="14">
        <v>1</v>
      </c>
    </row>
    <row r="11" spans="1:34" x14ac:dyDescent="0.35">
      <c r="A11" s="10">
        <f t="shared" si="9"/>
        <v>4</v>
      </c>
      <c r="B11" s="26">
        <v>102137127068</v>
      </c>
      <c r="C11" s="32" t="s">
        <v>47</v>
      </c>
      <c r="D11" s="32"/>
      <c r="E11" s="1" t="s">
        <v>121</v>
      </c>
      <c r="F11" s="2" t="s">
        <v>127</v>
      </c>
      <c r="G11" s="2" t="s">
        <v>132</v>
      </c>
      <c r="H11" s="67">
        <v>131</v>
      </c>
      <c r="I11" s="79">
        <v>30</v>
      </c>
      <c r="J11" s="14">
        <v>30</v>
      </c>
      <c r="K11" s="6">
        <v>13580</v>
      </c>
      <c r="L11" s="6">
        <v>9600</v>
      </c>
      <c r="M11" s="6">
        <v>820</v>
      </c>
      <c r="N11" s="11">
        <f t="shared" si="0"/>
        <v>24000</v>
      </c>
      <c r="O11" s="12">
        <f t="shared" si="1"/>
        <v>24000</v>
      </c>
      <c r="P11" s="26">
        <f t="shared" si="2"/>
        <v>13580</v>
      </c>
      <c r="Q11" s="26">
        <f t="shared" si="3"/>
        <v>9600</v>
      </c>
      <c r="R11" s="26">
        <f t="shared" si="4"/>
        <v>820</v>
      </c>
      <c r="S11" s="11"/>
      <c r="T11" s="13">
        <f t="shared" si="5"/>
        <v>24000</v>
      </c>
      <c r="U11" s="15">
        <f t="shared" si="6"/>
        <v>1630</v>
      </c>
      <c r="V11" s="30">
        <v>0</v>
      </c>
      <c r="W11" s="37"/>
      <c r="X11" s="17"/>
      <c r="Y11" s="13">
        <f t="shared" si="7"/>
        <v>1630</v>
      </c>
      <c r="Z11" s="13">
        <f t="shared" si="8"/>
        <v>22370</v>
      </c>
      <c r="AA11" s="46">
        <v>19</v>
      </c>
      <c r="AB11" s="46">
        <v>2</v>
      </c>
      <c r="AC11" s="41"/>
      <c r="AD11" s="41"/>
      <c r="AE11" s="14">
        <v>18</v>
      </c>
      <c r="AF11" s="14">
        <v>1.5</v>
      </c>
    </row>
    <row r="12" spans="1:34" x14ac:dyDescent="0.35">
      <c r="A12" s="10">
        <f t="shared" si="9"/>
        <v>5</v>
      </c>
      <c r="B12" s="26">
        <v>101744404815</v>
      </c>
      <c r="C12" s="32" t="s">
        <v>47</v>
      </c>
      <c r="D12" s="32"/>
      <c r="E12" s="74" t="s">
        <v>122</v>
      </c>
      <c r="F12" s="2" t="s">
        <v>128</v>
      </c>
      <c r="G12" s="2" t="s">
        <v>133</v>
      </c>
      <c r="H12" s="67">
        <v>132</v>
      </c>
      <c r="I12" s="79">
        <v>29</v>
      </c>
      <c r="J12" s="14">
        <v>30</v>
      </c>
      <c r="K12" s="6">
        <v>27500</v>
      </c>
      <c r="L12" s="6">
        <v>22000</v>
      </c>
      <c r="M12" s="6">
        <v>5500</v>
      </c>
      <c r="N12" s="11">
        <f t="shared" si="0"/>
        <v>55000</v>
      </c>
      <c r="O12" s="12">
        <f t="shared" si="1"/>
        <v>55000</v>
      </c>
      <c r="P12" s="26">
        <f t="shared" si="2"/>
        <v>27500</v>
      </c>
      <c r="Q12" s="26">
        <f t="shared" si="3"/>
        <v>22000</v>
      </c>
      <c r="R12" s="26">
        <f t="shared" si="4"/>
        <v>5500</v>
      </c>
      <c r="S12" s="11"/>
      <c r="T12" s="13">
        <f t="shared" si="5"/>
        <v>55000</v>
      </c>
      <c r="U12" s="15">
        <f t="shared" si="6"/>
        <v>1800</v>
      </c>
      <c r="V12" s="30">
        <v>0</v>
      </c>
      <c r="W12" s="37"/>
      <c r="X12" s="17"/>
      <c r="Y12" s="13">
        <f t="shared" si="7"/>
        <v>1800</v>
      </c>
      <c r="Z12" s="13">
        <f t="shared" si="8"/>
        <v>53200</v>
      </c>
      <c r="AA12" s="46">
        <v>1</v>
      </c>
      <c r="AB12" s="46">
        <v>0</v>
      </c>
      <c r="AC12" s="41"/>
      <c r="AD12" s="41"/>
      <c r="AE12" s="14">
        <v>0</v>
      </c>
      <c r="AF12" s="14">
        <v>0.5</v>
      </c>
    </row>
    <row r="13" spans="1:34" x14ac:dyDescent="0.35">
      <c r="A13" s="10">
        <f t="shared" si="9"/>
        <v>6</v>
      </c>
      <c r="B13" s="26">
        <v>101673007740</v>
      </c>
      <c r="C13" s="32">
        <v>6724798802</v>
      </c>
      <c r="D13" s="32"/>
      <c r="E13" s="50" t="s">
        <v>137</v>
      </c>
      <c r="F13" s="2" t="s">
        <v>141</v>
      </c>
      <c r="G13" s="2" t="s">
        <v>145</v>
      </c>
      <c r="H13" s="69">
        <v>133</v>
      </c>
      <c r="I13" s="37">
        <v>23</v>
      </c>
      <c r="J13" s="52">
        <v>23</v>
      </c>
      <c r="K13" s="6">
        <v>13580</v>
      </c>
      <c r="L13" s="6">
        <v>2420</v>
      </c>
      <c r="M13" s="6">
        <v>0</v>
      </c>
      <c r="N13" s="11">
        <f t="shared" si="0"/>
        <v>16000</v>
      </c>
      <c r="O13" s="12">
        <f t="shared" si="1"/>
        <v>16000</v>
      </c>
      <c r="P13" s="26">
        <f t="shared" si="2"/>
        <v>10411</v>
      </c>
      <c r="Q13" s="26">
        <f t="shared" si="3"/>
        <v>1855</v>
      </c>
      <c r="R13" s="26">
        <f t="shared" si="4"/>
        <v>0</v>
      </c>
      <c r="S13" s="11"/>
      <c r="T13" s="13">
        <f t="shared" si="5"/>
        <v>12266</v>
      </c>
      <c r="U13" s="15">
        <f t="shared" si="6"/>
        <v>1249</v>
      </c>
      <c r="V13" s="72">
        <f>ROUNDUP(T13*0.75%,0)</f>
        <v>92</v>
      </c>
      <c r="W13" s="37"/>
      <c r="X13" s="17"/>
      <c r="Y13" s="13">
        <f t="shared" si="7"/>
        <v>1341</v>
      </c>
      <c r="Z13" s="13">
        <f t="shared" si="8"/>
        <v>10925</v>
      </c>
      <c r="AA13" s="52">
        <v>10</v>
      </c>
      <c r="AB13" s="52">
        <v>0</v>
      </c>
      <c r="AC13" s="77"/>
      <c r="AD13" s="77"/>
      <c r="AE13" s="52">
        <v>9</v>
      </c>
      <c r="AF13" s="14">
        <v>1.5</v>
      </c>
      <c r="AH13" t="s">
        <v>296</v>
      </c>
    </row>
    <row r="14" spans="1:34" x14ac:dyDescent="0.35">
      <c r="A14" s="10">
        <f t="shared" si="9"/>
        <v>7</v>
      </c>
      <c r="B14" s="26">
        <v>102230469572</v>
      </c>
      <c r="C14" s="32">
        <v>2810756130</v>
      </c>
      <c r="D14" s="32" t="s">
        <v>175</v>
      </c>
      <c r="E14" s="1" t="s">
        <v>135</v>
      </c>
      <c r="F14" s="2" t="s">
        <v>139</v>
      </c>
      <c r="G14" s="2" t="s">
        <v>143</v>
      </c>
      <c r="H14" s="67">
        <v>140</v>
      </c>
      <c r="I14" s="75">
        <v>28</v>
      </c>
      <c r="J14" s="14">
        <v>30</v>
      </c>
      <c r="K14" s="6">
        <v>13580</v>
      </c>
      <c r="L14" s="6">
        <v>5420</v>
      </c>
      <c r="M14" s="6">
        <v>0</v>
      </c>
      <c r="N14" s="11">
        <f t="shared" si="0"/>
        <v>19000</v>
      </c>
      <c r="O14" s="12">
        <f t="shared" si="1"/>
        <v>19000</v>
      </c>
      <c r="P14" s="26">
        <f t="shared" si="2"/>
        <v>13580</v>
      </c>
      <c r="Q14" s="26">
        <f t="shared" si="3"/>
        <v>5420</v>
      </c>
      <c r="R14" s="26">
        <f t="shared" si="4"/>
        <v>0</v>
      </c>
      <c r="S14" s="11"/>
      <c r="T14" s="13">
        <f t="shared" si="5"/>
        <v>19000</v>
      </c>
      <c r="U14" s="15">
        <f t="shared" si="6"/>
        <v>1630</v>
      </c>
      <c r="V14" s="72">
        <f>ROUNDUP(T14*0.75%,0)</f>
        <v>143</v>
      </c>
      <c r="W14" s="37"/>
      <c r="X14" s="17"/>
      <c r="Y14" s="13">
        <f t="shared" si="7"/>
        <v>1773</v>
      </c>
      <c r="Z14" s="13">
        <f t="shared" si="8"/>
        <v>17227</v>
      </c>
      <c r="AA14" s="46">
        <v>0</v>
      </c>
      <c r="AB14" s="46">
        <v>0</v>
      </c>
      <c r="AC14" s="41"/>
      <c r="AD14" s="41"/>
      <c r="AE14" s="14">
        <v>0.5</v>
      </c>
      <c r="AF14" s="14">
        <v>0</v>
      </c>
    </row>
    <row r="15" spans="1:34" x14ac:dyDescent="0.35">
      <c r="A15" s="10">
        <f t="shared" si="9"/>
        <v>8</v>
      </c>
      <c r="B15" s="26">
        <v>102207994817</v>
      </c>
      <c r="C15" s="32">
        <v>2810746955</v>
      </c>
      <c r="D15" s="32"/>
      <c r="E15" s="74" t="s">
        <v>112</v>
      </c>
      <c r="F15" s="2" t="s">
        <v>114</v>
      </c>
      <c r="G15" s="2" t="s">
        <v>116</v>
      </c>
      <c r="H15" s="67">
        <v>143</v>
      </c>
      <c r="I15" s="79">
        <v>28</v>
      </c>
      <c r="J15" s="14">
        <v>30</v>
      </c>
      <c r="K15" s="6">
        <v>13580</v>
      </c>
      <c r="L15" s="6">
        <v>10400</v>
      </c>
      <c r="M15" s="6">
        <v>2020</v>
      </c>
      <c r="N15" s="11">
        <f t="shared" si="0"/>
        <v>26000</v>
      </c>
      <c r="O15" s="12">
        <f t="shared" si="1"/>
        <v>26000</v>
      </c>
      <c r="P15" s="26">
        <f t="shared" si="2"/>
        <v>13580</v>
      </c>
      <c r="Q15" s="26">
        <f t="shared" si="3"/>
        <v>10400</v>
      </c>
      <c r="R15" s="26">
        <f t="shared" si="4"/>
        <v>2020</v>
      </c>
      <c r="S15" s="11"/>
      <c r="T15" s="13">
        <f t="shared" si="5"/>
        <v>26000</v>
      </c>
      <c r="U15" s="15">
        <f t="shared" si="6"/>
        <v>1630</v>
      </c>
      <c r="V15" s="30">
        <v>0</v>
      </c>
      <c r="W15" s="37"/>
      <c r="X15" s="17"/>
      <c r="Y15" s="13">
        <f t="shared" si="7"/>
        <v>1630</v>
      </c>
      <c r="Z15" s="13">
        <f t="shared" si="8"/>
        <v>24370</v>
      </c>
      <c r="AA15" s="46">
        <v>1</v>
      </c>
      <c r="AB15" s="46">
        <v>0</v>
      </c>
      <c r="AC15" s="41"/>
      <c r="AD15" s="41"/>
      <c r="AE15" s="14">
        <v>1</v>
      </c>
      <c r="AF15" s="14">
        <v>0.5</v>
      </c>
    </row>
    <row r="16" spans="1:34" x14ac:dyDescent="0.35">
      <c r="A16" s="10">
        <f t="shared" si="9"/>
        <v>9</v>
      </c>
      <c r="B16" s="26">
        <v>102207994864</v>
      </c>
      <c r="C16" s="32" t="s">
        <v>47</v>
      </c>
      <c r="D16" s="32"/>
      <c r="E16" s="74" t="s">
        <v>111</v>
      </c>
      <c r="F16" s="2" t="s">
        <v>113</v>
      </c>
      <c r="G16" s="2" t="s">
        <v>115</v>
      </c>
      <c r="H16" s="67">
        <v>145</v>
      </c>
      <c r="I16" s="79">
        <v>30</v>
      </c>
      <c r="J16" s="14">
        <v>30</v>
      </c>
      <c r="K16" s="6">
        <v>15000</v>
      </c>
      <c r="L16" s="6">
        <v>12000</v>
      </c>
      <c r="M16" s="6">
        <v>3000</v>
      </c>
      <c r="N16" s="11">
        <f t="shared" si="0"/>
        <v>30000</v>
      </c>
      <c r="O16" s="12">
        <f t="shared" si="1"/>
        <v>30000</v>
      </c>
      <c r="P16" s="26">
        <f t="shared" si="2"/>
        <v>15000</v>
      </c>
      <c r="Q16" s="26">
        <f t="shared" si="3"/>
        <v>12000</v>
      </c>
      <c r="R16" s="26">
        <f t="shared" si="4"/>
        <v>3000</v>
      </c>
      <c r="S16" s="11"/>
      <c r="T16" s="13">
        <f t="shared" si="5"/>
        <v>30000</v>
      </c>
      <c r="U16" s="15">
        <f t="shared" si="6"/>
        <v>1800</v>
      </c>
      <c r="V16" s="30">
        <v>0</v>
      </c>
      <c r="W16" s="37"/>
      <c r="X16" s="17"/>
      <c r="Y16" s="13">
        <f t="shared" si="7"/>
        <v>1800</v>
      </c>
      <c r="Z16" s="13">
        <f t="shared" si="8"/>
        <v>28200</v>
      </c>
      <c r="AA16" s="46">
        <v>3</v>
      </c>
      <c r="AB16" s="46">
        <v>1.5</v>
      </c>
      <c r="AC16" s="41"/>
      <c r="AD16" s="41"/>
      <c r="AE16" s="14">
        <v>2</v>
      </c>
      <c r="AF16" s="14">
        <v>1</v>
      </c>
    </row>
    <row r="17" spans="1:34" x14ac:dyDescent="0.35">
      <c r="A17" s="10">
        <f t="shared" si="9"/>
        <v>10</v>
      </c>
      <c r="B17" s="26">
        <v>102051977873</v>
      </c>
      <c r="C17" s="26">
        <v>8101467145</v>
      </c>
      <c r="D17" s="26" t="s">
        <v>196</v>
      </c>
      <c r="E17" s="1" t="s">
        <v>150</v>
      </c>
      <c r="F17" s="2" t="s">
        <v>151</v>
      </c>
      <c r="G17" s="2" t="s">
        <v>152</v>
      </c>
      <c r="H17" s="67">
        <v>166</v>
      </c>
      <c r="I17" s="7">
        <v>30</v>
      </c>
      <c r="J17" s="14">
        <v>30</v>
      </c>
      <c r="K17" s="6">
        <v>13580</v>
      </c>
      <c r="L17" s="6">
        <v>10000</v>
      </c>
      <c r="M17" s="6">
        <v>1420</v>
      </c>
      <c r="N17" s="11">
        <f t="shared" si="0"/>
        <v>25000</v>
      </c>
      <c r="O17" s="12">
        <f t="shared" si="1"/>
        <v>25000</v>
      </c>
      <c r="P17" s="26">
        <f t="shared" si="2"/>
        <v>13580</v>
      </c>
      <c r="Q17" s="26">
        <f t="shared" si="3"/>
        <v>10000</v>
      </c>
      <c r="R17" s="26">
        <f t="shared" si="4"/>
        <v>1420</v>
      </c>
      <c r="S17" s="11"/>
      <c r="T17" s="13">
        <f t="shared" si="5"/>
        <v>25000</v>
      </c>
      <c r="U17" s="15">
        <f t="shared" si="6"/>
        <v>1630</v>
      </c>
      <c r="V17" s="30">
        <v>0</v>
      </c>
      <c r="W17" s="37"/>
      <c r="X17" s="17"/>
      <c r="Y17" s="13">
        <f t="shared" si="7"/>
        <v>1630</v>
      </c>
      <c r="Z17" s="13">
        <f t="shared" si="8"/>
        <v>23370</v>
      </c>
      <c r="AA17" s="46">
        <v>5</v>
      </c>
      <c r="AB17" s="46">
        <v>2</v>
      </c>
      <c r="AC17" s="41"/>
      <c r="AD17" s="41"/>
      <c r="AE17" s="14">
        <v>4</v>
      </c>
      <c r="AF17" s="14">
        <v>1.5</v>
      </c>
    </row>
    <row r="18" spans="1:34" x14ac:dyDescent="0.35">
      <c r="A18" s="10">
        <f t="shared" si="9"/>
        <v>11</v>
      </c>
      <c r="B18" s="26">
        <v>102195101012</v>
      </c>
      <c r="C18" s="32" t="s">
        <v>47</v>
      </c>
      <c r="D18" s="32"/>
      <c r="E18" s="74" t="s">
        <v>107</v>
      </c>
      <c r="F18" s="2" t="s">
        <v>108</v>
      </c>
      <c r="G18" s="2" t="s">
        <v>109</v>
      </c>
      <c r="H18" s="67">
        <v>194</v>
      </c>
      <c r="I18" s="79">
        <v>29</v>
      </c>
      <c r="J18" s="14">
        <v>30</v>
      </c>
      <c r="K18" s="6">
        <v>16800</v>
      </c>
      <c r="L18" s="6">
        <v>13440</v>
      </c>
      <c r="M18" s="6">
        <v>3360</v>
      </c>
      <c r="N18" s="11">
        <f t="shared" si="0"/>
        <v>33600</v>
      </c>
      <c r="O18" s="12">
        <f t="shared" si="1"/>
        <v>33600</v>
      </c>
      <c r="P18" s="26">
        <f t="shared" si="2"/>
        <v>16800</v>
      </c>
      <c r="Q18" s="26">
        <f t="shared" si="3"/>
        <v>13440</v>
      </c>
      <c r="R18" s="26">
        <f t="shared" si="4"/>
        <v>3360</v>
      </c>
      <c r="S18" s="11"/>
      <c r="T18" s="13">
        <f t="shared" si="5"/>
        <v>33600</v>
      </c>
      <c r="U18" s="15">
        <f t="shared" si="6"/>
        <v>1800</v>
      </c>
      <c r="V18" s="30">
        <v>0</v>
      </c>
      <c r="W18" s="37"/>
      <c r="X18" s="17"/>
      <c r="Y18" s="13">
        <f t="shared" si="7"/>
        <v>1800</v>
      </c>
      <c r="Z18" s="13">
        <f t="shared" si="8"/>
        <v>31800</v>
      </c>
      <c r="AA18" s="46">
        <v>11</v>
      </c>
      <c r="AB18" s="46">
        <v>1</v>
      </c>
      <c r="AC18" s="41"/>
      <c r="AD18" s="41"/>
      <c r="AE18" s="14">
        <v>10</v>
      </c>
      <c r="AF18" s="14">
        <v>1.5</v>
      </c>
    </row>
    <row r="19" spans="1:34" x14ac:dyDescent="0.35">
      <c r="A19" s="10">
        <f t="shared" si="9"/>
        <v>12</v>
      </c>
      <c r="B19" s="26">
        <v>101739047812</v>
      </c>
      <c r="C19" s="32" t="s">
        <v>47</v>
      </c>
      <c r="D19" s="32"/>
      <c r="E19" s="74" t="s">
        <v>120</v>
      </c>
      <c r="F19" s="2" t="s">
        <v>126</v>
      </c>
      <c r="G19" s="2" t="s">
        <v>69</v>
      </c>
      <c r="H19" s="67">
        <v>205</v>
      </c>
      <c r="I19" s="79">
        <v>29</v>
      </c>
      <c r="J19" s="14">
        <v>30</v>
      </c>
      <c r="K19" s="6">
        <v>16500</v>
      </c>
      <c r="L19" s="6">
        <v>13200</v>
      </c>
      <c r="M19" s="6">
        <v>3300</v>
      </c>
      <c r="N19" s="11">
        <f t="shared" si="0"/>
        <v>33000</v>
      </c>
      <c r="O19" s="12">
        <f t="shared" si="1"/>
        <v>33000</v>
      </c>
      <c r="P19" s="26">
        <f t="shared" si="2"/>
        <v>16500</v>
      </c>
      <c r="Q19" s="26">
        <f t="shared" si="3"/>
        <v>13200</v>
      </c>
      <c r="R19" s="26">
        <f t="shared" si="4"/>
        <v>3300</v>
      </c>
      <c r="S19" s="11"/>
      <c r="T19" s="13">
        <f t="shared" si="5"/>
        <v>33000</v>
      </c>
      <c r="U19" s="15">
        <f t="shared" si="6"/>
        <v>1800</v>
      </c>
      <c r="V19" s="30">
        <v>0</v>
      </c>
      <c r="W19" s="37"/>
      <c r="X19" s="17"/>
      <c r="Y19" s="13">
        <f t="shared" si="7"/>
        <v>1800</v>
      </c>
      <c r="Z19" s="13">
        <f t="shared" si="8"/>
        <v>31200</v>
      </c>
      <c r="AA19" s="46">
        <v>6</v>
      </c>
      <c r="AB19" s="46">
        <v>1</v>
      </c>
      <c r="AC19" s="41"/>
      <c r="AD19" s="41"/>
      <c r="AE19" s="14">
        <v>5</v>
      </c>
      <c r="AF19" s="14">
        <v>1.5</v>
      </c>
    </row>
    <row r="20" spans="1:34" ht="18" customHeight="1" x14ac:dyDescent="0.35">
      <c r="A20" s="10">
        <f t="shared" si="9"/>
        <v>13</v>
      </c>
      <c r="B20" s="26">
        <v>102120833960</v>
      </c>
      <c r="C20" s="32">
        <v>2810724777</v>
      </c>
      <c r="D20" s="32" t="s">
        <v>175</v>
      </c>
      <c r="E20" s="1" t="s">
        <v>219</v>
      </c>
      <c r="F20" s="2" t="s">
        <v>103</v>
      </c>
      <c r="G20" s="2" t="s">
        <v>104</v>
      </c>
      <c r="H20" s="67">
        <v>212</v>
      </c>
      <c r="I20" s="75">
        <v>8</v>
      </c>
      <c r="J20" s="14">
        <v>9.5</v>
      </c>
      <c r="K20" s="6">
        <v>13580</v>
      </c>
      <c r="L20" s="6">
        <v>5420</v>
      </c>
      <c r="M20" s="6">
        <v>0</v>
      </c>
      <c r="N20" s="11">
        <f t="shared" si="0"/>
        <v>19000</v>
      </c>
      <c r="O20" s="12">
        <f t="shared" si="1"/>
        <v>19000</v>
      </c>
      <c r="P20" s="26">
        <f t="shared" si="2"/>
        <v>4300</v>
      </c>
      <c r="Q20" s="26">
        <f t="shared" si="3"/>
        <v>1716</v>
      </c>
      <c r="R20" s="26">
        <f t="shared" si="4"/>
        <v>0</v>
      </c>
      <c r="S20" s="11"/>
      <c r="T20" s="13">
        <f t="shared" si="5"/>
        <v>6016</v>
      </c>
      <c r="U20" s="15">
        <f t="shared" si="6"/>
        <v>516</v>
      </c>
      <c r="V20" s="16">
        <f>ROUNDUP(T20*0.75%,0)</f>
        <v>46</v>
      </c>
      <c r="W20" s="37"/>
      <c r="X20" s="17"/>
      <c r="Y20" s="13">
        <f t="shared" si="7"/>
        <v>562</v>
      </c>
      <c r="Z20" s="13">
        <f t="shared" si="8"/>
        <v>5454</v>
      </c>
      <c r="AA20" s="46">
        <v>0</v>
      </c>
      <c r="AB20" s="46">
        <v>0</v>
      </c>
      <c r="AC20" s="41"/>
      <c r="AD20" s="41"/>
      <c r="AE20" s="14">
        <v>0</v>
      </c>
      <c r="AF20" s="14">
        <v>0</v>
      </c>
    </row>
    <row r="21" spans="1:34" ht="18" customHeight="1" x14ac:dyDescent="0.35">
      <c r="A21" s="10">
        <f t="shared" si="9"/>
        <v>14</v>
      </c>
      <c r="B21" s="26">
        <v>100163866912</v>
      </c>
      <c r="C21" s="32" t="s">
        <v>47</v>
      </c>
      <c r="D21" s="32"/>
      <c r="E21" s="74" t="s">
        <v>91</v>
      </c>
      <c r="F21" s="2" t="s">
        <v>95</v>
      </c>
      <c r="G21" s="2" t="s">
        <v>93</v>
      </c>
      <c r="H21" s="67">
        <v>229</v>
      </c>
      <c r="I21" s="79">
        <v>30</v>
      </c>
      <c r="J21" s="14">
        <v>30</v>
      </c>
      <c r="K21" s="6">
        <v>16250</v>
      </c>
      <c r="L21" s="6">
        <v>13000</v>
      </c>
      <c r="M21" s="6">
        <v>3250</v>
      </c>
      <c r="N21" s="11">
        <f t="shared" si="0"/>
        <v>32500</v>
      </c>
      <c r="O21" s="12">
        <f t="shared" si="1"/>
        <v>32500</v>
      </c>
      <c r="P21" s="26">
        <f t="shared" si="2"/>
        <v>16250</v>
      </c>
      <c r="Q21" s="26">
        <f t="shared" si="3"/>
        <v>13000</v>
      </c>
      <c r="R21" s="26">
        <f t="shared" si="4"/>
        <v>3250</v>
      </c>
      <c r="S21" s="11"/>
      <c r="T21" s="13">
        <f t="shared" si="5"/>
        <v>32500</v>
      </c>
      <c r="U21" s="15">
        <f t="shared" si="6"/>
        <v>1800</v>
      </c>
      <c r="V21" s="30">
        <v>0</v>
      </c>
      <c r="W21" s="37"/>
      <c r="X21" s="17"/>
      <c r="Y21" s="13">
        <f t="shared" si="7"/>
        <v>1800</v>
      </c>
      <c r="Z21" s="13">
        <f t="shared" si="8"/>
        <v>30700</v>
      </c>
      <c r="AA21" s="46">
        <v>17</v>
      </c>
      <c r="AB21" s="46">
        <v>2</v>
      </c>
      <c r="AC21" s="41"/>
      <c r="AD21" s="41"/>
      <c r="AE21" s="14">
        <v>16</v>
      </c>
      <c r="AF21" s="14">
        <v>1.5</v>
      </c>
    </row>
    <row r="22" spans="1:34" ht="18" customHeight="1" x14ac:dyDescent="0.35">
      <c r="A22" s="10">
        <f t="shared" si="9"/>
        <v>15</v>
      </c>
      <c r="B22" s="26">
        <v>101858535463</v>
      </c>
      <c r="C22" s="32" t="s">
        <v>47</v>
      </c>
      <c r="D22" s="32" t="s">
        <v>175</v>
      </c>
      <c r="E22" s="1" t="s">
        <v>76</v>
      </c>
      <c r="F22" s="2" t="s">
        <v>85</v>
      </c>
      <c r="G22" s="2" t="s">
        <v>90</v>
      </c>
      <c r="H22" s="67">
        <v>252</v>
      </c>
      <c r="I22" s="75">
        <v>27</v>
      </c>
      <c r="J22" s="14">
        <v>28.5</v>
      </c>
      <c r="K22" s="6">
        <v>15000</v>
      </c>
      <c r="L22" s="6">
        <v>12000</v>
      </c>
      <c r="M22" s="6">
        <v>3000</v>
      </c>
      <c r="N22" s="11">
        <f t="shared" si="0"/>
        <v>30000</v>
      </c>
      <c r="O22" s="12">
        <f t="shared" si="1"/>
        <v>30000</v>
      </c>
      <c r="P22" s="26">
        <f t="shared" si="2"/>
        <v>14250</v>
      </c>
      <c r="Q22" s="26">
        <f t="shared" si="3"/>
        <v>11400</v>
      </c>
      <c r="R22" s="26">
        <f t="shared" si="4"/>
        <v>2850</v>
      </c>
      <c r="S22" s="11"/>
      <c r="T22" s="13">
        <f t="shared" si="5"/>
        <v>28500</v>
      </c>
      <c r="U22" s="15">
        <f t="shared" si="6"/>
        <v>1710</v>
      </c>
      <c r="V22" s="30">
        <v>0</v>
      </c>
      <c r="W22" s="37"/>
      <c r="X22" s="17"/>
      <c r="Y22" s="13">
        <f t="shared" si="7"/>
        <v>1710</v>
      </c>
      <c r="Z22" s="13">
        <f t="shared" si="8"/>
        <v>26790</v>
      </c>
      <c r="AA22" s="46">
        <v>0</v>
      </c>
      <c r="AB22" s="46">
        <v>0</v>
      </c>
      <c r="AC22" s="41"/>
      <c r="AD22" s="41"/>
      <c r="AE22" s="14">
        <v>0</v>
      </c>
      <c r="AF22" s="14">
        <v>0</v>
      </c>
    </row>
    <row r="23" spans="1:34" ht="18" customHeight="1" x14ac:dyDescent="0.35">
      <c r="A23" s="10">
        <f t="shared" si="9"/>
        <v>16</v>
      </c>
      <c r="B23" s="26">
        <v>102128873867</v>
      </c>
      <c r="C23" s="32" t="s">
        <v>47</v>
      </c>
      <c r="D23" s="32"/>
      <c r="E23" s="74" t="s">
        <v>79</v>
      </c>
      <c r="F23" s="2" t="s">
        <v>83</v>
      </c>
      <c r="G23" s="2" t="s">
        <v>88</v>
      </c>
      <c r="H23" s="67">
        <v>265</v>
      </c>
      <c r="I23" s="79">
        <v>29</v>
      </c>
      <c r="J23" s="14">
        <v>30</v>
      </c>
      <c r="K23" s="6">
        <v>18750</v>
      </c>
      <c r="L23" s="6">
        <v>15000</v>
      </c>
      <c r="M23" s="6">
        <v>3750</v>
      </c>
      <c r="N23" s="11">
        <f t="shared" si="0"/>
        <v>37500</v>
      </c>
      <c r="O23" s="12">
        <f t="shared" si="1"/>
        <v>37500</v>
      </c>
      <c r="P23" s="26">
        <f t="shared" si="2"/>
        <v>18750</v>
      </c>
      <c r="Q23" s="26">
        <f t="shared" si="3"/>
        <v>15000</v>
      </c>
      <c r="R23" s="26">
        <f t="shared" si="4"/>
        <v>3750</v>
      </c>
      <c r="S23" s="11"/>
      <c r="T23" s="13">
        <f t="shared" si="5"/>
        <v>37500</v>
      </c>
      <c r="U23" s="15">
        <f t="shared" si="6"/>
        <v>1800</v>
      </c>
      <c r="V23" s="30">
        <v>0</v>
      </c>
      <c r="W23" s="37"/>
      <c r="X23" s="17"/>
      <c r="Y23" s="13">
        <f t="shared" si="7"/>
        <v>1800</v>
      </c>
      <c r="Z23" s="13">
        <f t="shared" si="8"/>
        <v>35700</v>
      </c>
      <c r="AA23" s="46">
        <v>10</v>
      </c>
      <c r="AB23" s="46">
        <v>0.5</v>
      </c>
      <c r="AC23" s="41"/>
      <c r="AD23" s="41"/>
      <c r="AE23" s="14">
        <v>10</v>
      </c>
      <c r="AF23" s="14">
        <v>0</v>
      </c>
    </row>
    <row r="24" spans="1:34" ht="18" customHeight="1" x14ac:dyDescent="0.35">
      <c r="A24" s="10">
        <f t="shared" si="9"/>
        <v>17</v>
      </c>
      <c r="B24" s="26">
        <v>102128873851</v>
      </c>
      <c r="C24" s="32" t="s">
        <v>47</v>
      </c>
      <c r="D24" s="32"/>
      <c r="E24" s="74" t="s">
        <v>80</v>
      </c>
      <c r="F24" s="2" t="s">
        <v>84</v>
      </c>
      <c r="G24" s="2" t="s">
        <v>89</v>
      </c>
      <c r="H24" s="67">
        <v>267</v>
      </c>
      <c r="I24" s="79">
        <v>29</v>
      </c>
      <c r="J24" s="14">
        <v>30</v>
      </c>
      <c r="K24" s="6">
        <v>14300</v>
      </c>
      <c r="L24" s="6">
        <v>11440</v>
      </c>
      <c r="M24" s="6">
        <v>2860</v>
      </c>
      <c r="N24" s="11">
        <f t="shared" si="0"/>
        <v>28600</v>
      </c>
      <c r="O24" s="12">
        <f t="shared" si="1"/>
        <v>28600</v>
      </c>
      <c r="P24" s="26">
        <f t="shared" si="2"/>
        <v>14300</v>
      </c>
      <c r="Q24" s="26">
        <f t="shared" si="3"/>
        <v>11440</v>
      </c>
      <c r="R24" s="26">
        <f t="shared" si="4"/>
        <v>2860</v>
      </c>
      <c r="S24" s="11"/>
      <c r="T24" s="13">
        <f t="shared" si="5"/>
        <v>28600</v>
      </c>
      <c r="U24" s="15">
        <f t="shared" si="6"/>
        <v>1716</v>
      </c>
      <c r="V24" s="30">
        <v>0</v>
      </c>
      <c r="W24" s="37"/>
      <c r="X24" s="17"/>
      <c r="Y24" s="13">
        <f t="shared" si="7"/>
        <v>1716</v>
      </c>
      <c r="Z24" s="13">
        <f t="shared" si="8"/>
        <v>26884</v>
      </c>
      <c r="AA24" s="46">
        <v>15</v>
      </c>
      <c r="AB24" s="46">
        <v>0.5</v>
      </c>
      <c r="AC24" s="41"/>
      <c r="AD24" s="41"/>
      <c r="AE24" s="14">
        <v>15</v>
      </c>
      <c r="AF24" s="14">
        <v>0</v>
      </c>
    </row>
    <row r="25" spans="1:34" ht="18" customHeight="1" x14ac:dyDescent="0.35">
      <c r="A25" s="10">
        <f t="shared" si="9"/>
        <v>18</v>
      </c>
      <c r="B25" s="26">
        <v>102041043928</v>
      </c>
      <c r="C25" s="32" t="s">
        <v>47</v>
      </c>
      <c r="D25" s="32" t="s">
        <v>175</v>
      </c>
      <c r="E25" s="1" t="s">
        <v>77</v>
      </c>
      <c r="F25" s="2" t="s">
        <v>82</v>
      </c>
      <c r="G25" s="2" t="s">
        <v>87</v>
      </c>
      <c r="H25" s="67">
        <v>275</v>
      </c>
      <c r="I25" s="75">
        <v>29</v>
      </c>
      <c r="J25" s="14">
        <v>30</v>
      </c>
      <c r="K25" s="6">
        <v>14500</v>
      </c>
      <c r="L25" s="6">
        <v>11600</v>
      </c>
      <c r="M25" s="6">
        <v>2900</v>
      </c>
      <c r="N25" s="11">
        <f t="shared" si="0"/>
        <v>29000</v>
      </c>
      <c r="O25" s="12">
        <f t="shared" si="1"/>
        <v>29000</v>
      </c>
      <c r="P25" s="26">
        <f t="shared" si="2"/>
        <v>14500</v>
      </c>
      <c r="Q25" s="26">
        <f t="shared" si="3"/>
        <v>11600</v>
      </c>
      <c r="R25" s="26">
        <f t="shared" si="4"/>
        <v>2900</v>
      </c>
      <c r="S25" s="11"/>
      <c r="T25" s="13">
        <f t="shared" si="5"/>
        <v>29000</v>
      </c>
      <c r="U25" s="15">
        <f t="shared" si="6"/>
        <v>1740</v>
      </c>
      <c r="V25" s="30">
        <v>0</v>
      </c>
      <c r="W25" s="38"/>
      <c r="X25" s="17"/>
      <c r="Y25" s="13">
        <f t="shared" si="7"/>
        <v>1740</v>
      </c>
      <c r="Z25" s="13">
        <f t="shared" si="8"/>
        <v>27260</v>
      </c>
      <c r="AA25" s="46">
        <v>0</v>
      </c>
      <c r="AB25" s="46">
        <v>0.5</v>
      </c>
      <c r="AC25" s="41"/>
      <c r="AD25" s="41"/>
      <c r="AE25" s="14">
        <v>0</v>
      </c>
      <c r="AF25" s="14">
        <v>0</v>
      </c>
    </row>
    <row r="26" spans="1:34" ht="18" customHeight="1" x14ac:dyDescent="0.35">
      <c r="A26" s="10">
        <f t="shared" si="9"/>
        <v>19</v>
      </c>
      <c r="B26" s="26">
        <v>102127844194</v>
      </c>
      <c r="C26" s="32" t="s">
        <v>47</v>
      </c>
      <c r="D26" s="32"/>
      <c r="E26" s="74" t="s">
        <v>78</v>
      </c>
      <c r="F26" s="2" t="s">
        <v>81</v>
      </c>
      <c r="G26" s="2" t="s">
        <v>86</v>
      </c>
      <c r="H26" s="67">
        <v>276</v>
      </c>
      <c r="I26" s="79">
        <v>26</v>
      </c>
      <c r="J26" s="14">
        <v>30</v>
      </c>
      <c r="K26" s="6">
        <v>26000</v>
      </c>
      <c r="L26" s="6">
        <v>20800</v>
      </c>
      <c r="M26" s="6">
        <v>5200</v>
      </c>
      <c r="N26" s="11">
        <f t="shared" si="0"/>
        <v>52000</v>
      </c>
      <c r="O26" s="12">
        <f t="shared" si="1"/>
        <v>52000</v>
      </c>
      <c r="P26" s="26">
        <f t="shared" si="2"/>
        <v>26000</v>
      </c>
      <c r="Q26" s="26">
        <f t="shared" si="3"/>
        <v>20800</v>
      </c>
      <c r="R26" s="26">
        <f t="shared" si="4"/>
        <v>5200</v>
      </c>
      <c r="S26" s="11"/>
      <c r="T26" s="13">
        <f t="shared" si="5"/>
        <v>52000</v>
      </c>
      <c r="U26" s="15">
        <f t="shared" si="6"/>
        <v>1800</v>
      </c>
      <c r="V26" s="30">
        <v>0</v>
      </c>
      <c r="W26" s="38"/>
      <c r="X26" s="17"/>
      <c r="Y26" s="13">
        <f t="shared" si="7"/>
        <v>1800</v>
      </c>
      <c r="Z26" s="13">
        <f t="shared" si="8"/>
        <v>50200</v>
      </c>
      <c r="AA26" s="46">
        <v>2</v>
      </c>
      <c r="AB26" s="46">
        <v>0</v>
      </c>
      <c r="AC26" s="41"/>
      <c r="AD26" s="41"/>
      <c r="AE26" s="14">
        <v>4</v>
      </c>
      <c r="AF26" s="14">
        <v>0.5</v>
      </c>
    </row>
    <row r="27" spans="1:34" ht="18" customHeight="1" x14ac:dyDescent="0.35">
      <c r="A27" s="10">
        <f t="shared" si="9"/>
        <v>20</v>
      </c>
      <c r="B27" s="26">
        <v>101570858373</v>
      </c>
      <c r="C27" s="32" t="s">
        <v>47</v>
      </c>
      <c r="D27" s="32" t="s">
        <v>175</v>
      </c>
      <c r="E27" s="50" t="s">
        <v>73</v>
      </c>
      <c r="F27" s="2" t="s">
        <v>75</v>
      </c>
      <c r="G27" s="2" t="s">
        <v>106</v>
      </c>
      <c r="H27" s="69">
        <v>291</v>
      </c>
      <c r="I27" s="76">
        <v>7.5</v>
      </c>
      <c r="J27" s="52">
        <v>7.5</v>
      </c>
      <c r="K27" s="6">
        <v>20000</v>
      </c>
      <c r="L27" s="6">
        <v>16000</v>
      </c>
      <c r="M27" s="6">
        <v>4000</v>
      </c>
      <c r="N27" s="11">
        <f t="shared" si="0"/>
        <v>40000</v>
      </c>
      <c r="O27" s="12">
        <f t="shared" si="1"/>
        <v>40000</v>
      </c>
      <c r="P27" s="26">
        <f t="shared" si="2"/>
        <v>5000</v>
      </c>
      <c r="Q27" s="26">
        <f t="shared" si="3"/>
        <v>4000</v>
      </c>
      <c r="R27" s="26">
        <f t="shared" si="4"/>
        <v>1000</v>
      </c>
      <c r="S27" s="11"/>
      <c r="T27" s="13">
        <f t="shared" si="5"/>
        <v>10000</v>
      </c>
      <c r="U27" s="15">
        <f t="shared" si="6"/>
        <v>450</v>
      </c>
      <c r="V27" s="30">
        <v>0</v>
      </c>
      <c r="W27" s="38"/>
      <c r="X27" s="17"/>
      <c r="Y27" s="13">
        <f t="shared" si="7"/>
        <v>450</v>
      </c>
      <c r="Z27" s="13">
        <f t="shared" si="8"/>
        <v>9550</v>
      </c>
      <c r="AA27" s="52">
        <v>0</v>
      </c>
      <c r="AB27" s="52">
        <v>0</v>
      </c>
      <c r="AC27" s="77"/>
      <c r="AD27" s="77"/>
      <c r="AE27" s="52">
        <v>0</v>
      </c>
      <c r="AF27" s="52">
        <v>0</v>
      </c>
      <c r="AH27" t="s">
        <v>291</v>
      </c>
    </row>
    <row r="28" spans="1:34" ht="18" customHeight="1" x14ac:dyDescent="0.35">
      <c r="A28" s="10">
        <f t="shared" si="9"/>
        <v>21</v>
      </c>
      <c r="B28" s="26">
        <v>102115062288</v>
      </c>
      <c r="C28" s="32" t="s">
        <v>47</v>
      </c>
      <c r="D28" s="32" t="s">
        <v>175</v>
      </c>
      <c r="E28" s="1" t="s">
        <v>72</v>
      </c>
      <c r="F28" s="2" t="s">
        <v>74</v>
      </c>
      <c r="G28" s="2" t="s">
        <v>105</v>
      </c>
      <c r="H28" s="67">
        <v>295</v>
      </c>
      <c r="I28" s="75">
        <v>22</v>
      </c>
      <c r="J28" s="14">
        <v>23.5</v>
      </c>
      <c r="K28" s="6">
        <v>15000</v>
      </c>
      <c r="L28" s="6">
        <v>12000</v>
      </c>
      <c r="M28" s="6">
        <v>3000</v>
      </c>
      <c r="N28" s="11">
        <f t="shared" si="0"/>
        <v>30000</v>
      </c>
      <c r="O28" s="12">
        <f t="shared" si="1"/>
        <v>30000</v>
      </c>
      <c r="P28" s="26">
        <f t="shared" si="2"/>
        <v>11750</v>
      </c>
      <c r="Q28" s="26">
        <f t="shared" si="3"/>
        <v>9400</v>
      </c>
      <c r="R28" s="26">
        <f t="shared" si="4"/>
        <v>2350</v>
      </c>
      <c r="S28" s="11"/>
      <c r="T28" s="13">
        <f t="shared" si="5"/>
        <v>23500</v>
      </c>
      <c r="U28" s="15">
        <f t="shared" si="6"/>
        <v>1410</v>
      </c>
      <c r="V28" s="30">
        <v>0</v>
      </c>
      <c r="W28" s="38"/>
      <c r="X28" s="17"/>
      <c r="Y28" s="13">
        <f t="shared" si="7"/>
        <v>1410</v>
      </c>
      <c r="Z28" s="13">
        <f t="shared" si="8"/>
        <v>22090</v>
      </c>
      <c r="AA28" s="46">
        <v>0</v>
      </c>
      <c r="AB28" s="46">
        <v>0</v>
      </c>
      <c r="AC28" s="41"/>
      <c r="AD28" s="41"/>
      <c r="AE28" s="14">
        <v>0</v>
      </c>
      <c r="AF28" s="14">
        <v>0</v>
      </c>
    </row>
    <row r="29" spans="1:34" ht="18" customHeight="1" x14ac:dyDescent="0.35">
      <c r="A29" s="10">
        <f t="shared" si="9"/>
        <v>22</v>
      </c>
      <c r="B29" s="27">
        <v>102068090961</v>
      </c>
      <c r="C29" s="32" t="s">
        <v>47</v>
      </c>
      <c r="D29" s="32"/>
      <c r="E29" s="74" t="s">
        <v>66</v>
      </c>
      <c r="F29" s="2" t="s">
        <v>67</v>
      </c>
      <c r="G29" s="18" t="s">
        <v>68</v>
      </c>
      <c r="H29" s="67">
        <v>367</v>
      </c>
      <c r="I29" s="79">
        <v>29</v>
      </c>
      <c r="J29" s="14">
        <v>30</v>
      </c>
      <c r="K29" s="6">
        <v>18750</v>
      </c>
      <c r="L29" s="6">
        <v>15000</v>
      </c>
      <c r="M29" s="6">
        <v>3750</v>
      </c>
      <c r="N29" s="11">
        <f t="shared" si="0"/>
        <v>37500</v>
      </c>
      <c r="O29" s="12">
        <f t="shared" si="1"/>
        <v>37500</v>
      </c>
      <c r="P29" s="26">
        <f t="shared" si="2"/>
        <v>18750</v>
      </c>
      <c r="Q29" s="26">
        <f t="shared" si="3"/>
        <v>15000</v>
      </c>
      <c r="R29" s="26">
        <f t="shared" si="4"/>
        <v>3750</v>
      </c>
      <c r="S29" s="11"/>
      <c r="T29" s="13">
        <f t="shared" si="5"/>
        <v>37500</v>
      </c>
      <c r="U29" s="15">
        <f t="shared" si="6"/>
        <v>1800</v>
      </c>
      <c r="V29" s="30">
        <v>0</v>
      </c>
      <c r="W29" s="38"/>
      <c r="X29" s="17"/>
      <c r="Y29" s="13">
        <f t="shared" si="7"/>
        <v>1800</v>
      </c>
      <c r="Z29" s="13">
        <f t="shared" si="8"/>
        <v>35700</v>
      </c>
      <c r="AA29" s="46">
        <v>3</v>
      </c>
      <c r="AB29" s="46">
        <v>0</v>
      </c>
      <c r="AC29" s="41"/>
      <c r="AD29" s="41"/>
      <c r="AE29" s="14">
        <v>2</v>
      </c>
      <c r="AF29" s="14">
        <v>0.5</v>
      </c>
    </row>
    <row r="30" spans="1:34" ht="18" customHeight="1" x14ac:dyDescent="0.35">
      <c r="A30" s="10">
        <f t="shared" si="9"/>
        <v>23</v>
      </c>
      <c r="B30" s="27">
        <v>101862920555</v>
      </c>
      <c r="C30" s="28" t="s">
        <v>47</v>
      </c>
      <c r="D30" s="28"/>
      <c r="E30" s="74" t="s">
        <v>33</v>
      </c>
      <c r="F30" s="2" t="s">
        <v>34</v>
      </c>
      <c r="G30" s="2" t="s">
        <v>35</v>
      </c>
      <c r="H30" s="67">
        <v>371</v>
      </c>
      <c r="I30" s="79">
        <v>30</v>
      </c>
      <c r="J30" s="14">
        <v>30</v>
      </c>
      <c r="K30" s="6">
        <v>17579</v>
      </c>
      <c r="L30" s="6">
        <v>14063</v>
      </c>
      <c r="M30" s="6">
        <v>3515</v>
      </c>
      <c r="N30" s="11">
        <f t="shared" si="0"/>
        <v>35157</v>
      </c>
      <c r="O30" s="12">
        <f t="shared" si="1"/>
        <v>35157</v>
      </c>
      <c r="P30" s="26">
        <f t="shared" si="2"/>
        <v>17579</v>
      </c>
      <c r="Q30" s="26">
        <f t="shared" si="3"/>
        <v>14063</v>
      </c>
      <c r="R30" s="26">
        <f t="shared" si="4"/>
        <v>3515</v>
      </c>
      <c r="S30" s="11"/>
      <c r="T30" s="13">
        <f t="shared" si="5"/>
        <v>35157</v>
      </c>
      <c r="U30" s="15">
        <f t="shared" si="6"/>
        <v>1800</v>
      </c>
      <c r="V30" s="30">
        <v>0</v>
      </c>
      <c r="W30" s="38"/>
      <c r="X30" s="17"/>
      <c r="Y30" s="13">
        <f t="shared" si="7"/>
        <v>1800</v>
      </c>
      <c r="Z30" s="13">
        <f t="shared" si="8"/>
        <v>33357</v>
      </c>
      <c r="AA30" s="46">
        <v>20</v>
      </c>
      <c r="AB30" s="46">
        <v>1</v>
      </c>
      <c r="AC30" s="41"/>
      <c r="AD30" s="41"/>
      <c r="AE30" s="14">
        <v>19</v>
      </c>
      <c r="AF30" s="14">
        <v>0.5</v>
      </c>
    </row>
    <row r="31" spans="1:34" ht="18" customHeight="1" x14ac:dyDescent="0.35">
      <c r="A31" s="10">
        <f t="shared" si="9"/>
        <v>24</v>
      </c>
      <c r="B31" s="27">
        <v>101678706645</v>
      </c>
      <c r="C31" s="28" t="s">
        <v>47</v>
      </c>
      <c r="D31" s="28"/>
      <c r="E31" s="74" t="s">
        <v>154</v>
      </c>
      <c r="F31" s="2" t="s">
        <v>31</v>
      </c>
      <c r="G31" s="2" t="s">
        <v>32</v>
      </c>
      <c r="H31" s="67">
        <v>372</v>
      </c>
      <c r="I31" s="79">
        <v>28</v>
      </c>
      <c r="J31" s="14">
        <v>30</v>
      </c>
      <c r="K31" s="6">
        <v>27650</v>
      </c>
      <c r="L31" s="6">
        <v>22120</v>
      </c>
      <c r="M31" s="6">
        <v>5530</v>
      </c>
      <c r="N31" s="11">
        <f t="shared" si="0"/>
        <v>55300</v>
      </c>
      <c r="O31" s="12">
        <f t="shared" si="1"/>
        <v>55300</v>
      </c>
      <c r="P31" s="26">
        <f t="shared" si="2"/>
        <v>27650</v>
      </c>
      <c r="Q31" s="26">
        <f t="shared" si="3"/>
        <v>22120</v>
      </c>
      <c r="R31" s="26">
        <f t="shared" si="4"/>
        <v>5530</v>
      </c>
      <c r="S31" s="11"/>
      <c r="T31" s="13">
        <f t="shared" si="5"/>
        <v>55300</v>
      </c>
      <c r="U31" s="15">
        <f t="shared" si="6"/>
        <v>1800</v>
      </c>
      <c r="V31" s="31">
        <v>0</v>
      </c>
      <c r="W31" s="38"/>
      <c r="X31" s="17"/>
      <c r="Y31" s="13">
        <f t="shared" si="7"/>
        <v>1800</v>
      </c>
      <c r="Z31" s="13">
        <f t="shared" si="8"/>
        <v>53500</v>
      </c>
      <c r="AA31" s="46">
        <v>22</v>
      </c>
      <c r="AB31" s="46">
        <v>0</v>
      </c>
      <c r="AC31" s="41"/>
      <c r="AD31" s="41"/>
      <c r="AE31" s="14">
        <v>21</v>
      </c>
      <c r="AF31" s="14">
        <v>1.5</v>
      </c>
    </row>
    <row r="32" spans="1:34" ht="18" customHeight="1" x14ac:dyDescent="0.35">
      <c r="A32" s="10">
        <f t="shared" si="9"/>
        <v>25</v>
      </c>
      <c r="B32" s="27">
        <v>101739581807</v>
      </c>
      <c r="C32" s="10" t="s">
        <v>47</v>
      </c>
      <c r="D32" s="10"/>
      <c r="E32" s="74" t="s">
        <v>153</v>
      </c>
      <c r="F32" s="2" t="s">
        <v>27</v>
      </c>
      <c r="G32" s="2" t="s">
        <v>28</v>
      </c>
      <c r="H32" s="67">
        <v>375</v>
      </c>
      <c r="I32" s="79">
        <v>30</v>
      </c>
      <c r="J32" s="14">
        <v>30</v>
      </c>
      <c r="K32" s="6">
        <v>30225</v>
      </c>
      <c r="L32" s="6">
        <v>24180</v>
      </c>
      <c r="M32" s="6">
        <v>6045</v>
      </c>
      <c r="N32" s="11">
        <f t="shared" si="0"/>
        <v>60450</v>
      </c>
      <c r="O32" s="12">
        <f t="shared" si="1"/>
        <v>60450</v>
      </c>
      <c r="P32" s="26">
        <f t="shared" si="2"/>
        <v>30225</v>
      </c>
      <c r="Q32" s="26">
        <f t="shared" si="3"/>
        <v>24180</v>
      </c>
      <c r="R32" s="26">
        <f t="shared" si="4"/>
        <v>6045</v>
      </c>
      <c r="S32" s="11"/>
      <c r="T32" s="13">
        <f t="shared" si="5"/>
        <v>60450</v>
      </c>
      <c r="U32" s="15">
        <f t="shared" si="6"/>
        <v>1800</v>
      </c>
      <c r="V32" s="31">
        <v>0</v>
      </c>
      <c r="W32" s="38"/>
      <c r="X32" s="17"/>
      <c r="Y32" s="13">
        <f t="shared" si="7"/>
        <v>1800</v>
      </c>
      <c r="Z32" s="13">
        <f t="shared" si="8"/>
        <v>58650</v>
      </c>
      <c r="AA32" s="46">
        <v>27</v>
      </c>
      <c r="AB32" s="46">
        <v>2</v>
      </c>
      <c r="AC32" s="41"/>
      <c r="AD32" s="41"/>
      <c r="AE32" s="14">
        <v>26</v>
      </c>
      <c r="AF32" s="14">
        <v>1.5</v>
      </c>
    </row>
    <row r="33" spans="1:34" ht="18" customHeight="1" x14ac:dyDescent="0.35">
      <c r="A33" s="10">
        <f t="shared" si="9"/>
        <v>26</v>
      </c>
      <c r="B33" s="27">
        <v>101802162396</v>
      </c>
      <c r="C33" s="28">
        <v>6720922222</v>
      </c>
      <c r="D33" s="28"/>
      <c r="E33" s="74" t="s">
        <v>39</v>
      </c>
      <c r="F33" s="2" t="s">
        <v>29</v>
      </c>
      <c r="G33" s="2" t="s">
        <v>30</v>
      </c>
      <c r="H33" s="67">
        <v>427</v>
      </c>
      <c r="I33" s="79">
        <v>30</v>
      </c>
      <c r="J33" s="14">
        <v>30</v>
      </c>
      <c r="K33" s="6">
        <v>14700</v>
      </c>
      <c r="L33" s="6">
        <v>11760</v>
      </c>
      <c r="M33" s="6">
        <v>2940</v>
      </c>
      <c r="N33" s="11">
        <f t="shared" si="0"/>
        <v>29400</v>
      </c>
      <c r="O33" s="12">
        <f t="shared" si="1"/>
        <v>29400</v>
      </c>
      <c r="P33" s="26">
        <f t="shared" si="2"/>
        <v>14700</v>
      </c>
      <c r="Q33" s="26">
        <f t="shared" si="3"/>
        <v>11760</v>
      </c>
      <c r="R33" s="26">
        <f t="shared" si="4"/>
        <v>2940</v>
      </c>
      <c r="S33" s="11"/>
      <c r="T33" s="13">
        <f t="shared" si="5"/>
        <v>29400</v>
      </c>
      <c r="U33" s="15">
        <f t="shared" si="6"/>
        <v>1764</v>
      </c>
      <c r="V33" s="31">
        <v>0</v>
      </c>
      <c r="W33" s="38"/>
      <c r="X33" s="17"/>
      <c r="Y33" s="13">
        <f t="shared" si="7"/>
        <v>1764</v>
      </c>
      <c r="Z33" s="13">
        <f t="shared" si="8"/>
        <v>27636</v>
      </c>
      <c r="AA33" s="46">
        <v>19.5</v>
      </c>
      <c r="AB33" s="46">
        <v>1</v>
      </c>
      <c r="AC33" s="41"/>
      <c r="AD33" s="41"/>
      <c r="AE33" s="14">
        <v>18.5</v>
      </c>
      <c r="AF33" s="14">
        <v>0.5</v>
      </c>
    </row>
    <row r="34" spans="1:34" ht="18" customHeight="1" x14ac:dyDescent="0.35">
      <c r="A34" s="10">
        <f t="shared" si="9"/>
        <v>27</v>
      </c>
      <c r="B34" s="27">
        <v>101354060675</v>
      </c>
      <c r="C34" s="32" t="s">
        <v>47</v>
      </c>
      <c r="D34" s="32"/>
      <c r="E34" s="74" t="s">
        <v>60</v>
      </c>
      <c r="F34" s="2" t="s">
        <v>62</v>
      </c>
      <c r="G34" s="18" t="s">
        <v>64</v>
      </c>
      <c r="H34" s="67">
        <v>437</v>
      </c>
      <c r="I34" s="79">
        <v>21</v>
      </c>
      <c r="J34" s="14">
        <v>30</v>
      </c>
      <c r="K34" s="6">
        <v>13580</v>
      </c>
      <c r="L34" s="6">
        <v>10400</v>
      </c>
      <c r="M34" s="6">
        <v>2020</v>
      </c>
      <c r="N34" s="11">
        <f t="shared" si="0"/>
        <v>26000</v>
      </c>
      <c r="O34" s="12">
        <f t="shared" si="1"/>
        <v>26000</v>
      </c>
      <c r="P34" s="26">
        <f t="shared" si="2"/>
        <v>13580</v>
      </c>
      <c r="Q34" s="26">
        <f t="shared" si="3"/>
        <v>10400</v>
      </c>
      <c r="R34" s="26">
        <f t="shared" si="4"/>
        <v>2020</v>
      </c>
      <c r="S34" s="11"/>
      <c r="T34" s="13">
        <f t="shared" si="5"/>
        <v>26000</v>
      </c>
      <c r="U34" s="15">
        <f t="shared" si="6"/>
        <v>1630</v>
      </c>
      <c r="V34" s="30">
        <v>0</v>
      </c>
      <c r="W34" s="38"/>
      <c r="X34" s="17"/>
      <c r="Y34" s="13">
        <f t="shared" si="7"/>
        <v>1630</v>
      </c>
      <c r="Z34" s="13">
        <f t="shared" si="8"/>
        <v>24370</v>
      </c>
      <c r="AA34" s="46">
        <v>13</v>
      </c>
      <c r="AB34" s="46">
        <v>0</v>
      </c>
      <c r="AC34" s="41"/>
      <c r="AD34" s="41"/>
      <c r="AE34" s="14">
        <v>20</v>
      </c>
      <c r="AF34" s="14">
        <v>0.5</v>
      </c>
    </row>
    <row r="35" spans="1:34" ht="18" customHeight="1" x14ac:dyDescent="0.35">
      <c r="A35" s="10">
        <f t="shared" si="9"/>
        <v>28</v>
      </c>
      <c r="B35" s="27">
        <v>102058705277</v>
      </c>
      <c r="C35" s="32">
        <v>6723180250</v>
      </c>
      <c r="D35" s="32"/>
      <c r="E35" s="74" t="s">
        <v>61</v>
      </c>
      <c r="F35" s="2" t="s">
        <v>63</v>
      </c>
      <c r="G35" s="18" t="s">
        <v>65</v>
      </c>
      <c r="H35" s="67">
        <v>447</v>
      </c>
      <c r="I35" s="79">
        <v>29</v>
      </c>
      <c r="J35" s="14">
        <v>30</v>
      </c>
      <c r="K35" s="6">
        <v>13580</v>
      </c>
      <c r="L35" s="6">
        <v>10400</v>
      </c>
      <c r="M35" s="6">
        <v>2020</v>
      </c>
      <c r="N35" s="11">
        <f t="shared" si="0"/>
        <v>26000</v>
      </c>
      <c r="O35" s="12">
        <f t="shared" si="1"/>
        <v>26000</v>
      </c>
      <c r="P35" s="26">
        <f t="shared" si="2"/>
        <v>13580</v>
      </c>
      <c r="Q35" s="26">
        <f t="shared" si="3"/>
        <v>10400</v>
      </c>
      <c r="R35" s="26">
        <f t="shared" si="4"/>
        <v>2020</v>
      </c>
      <c r="S35" s="11"/>
      <c r="T35" s="13">
        <f t="shared" si="5"/>
        <v>26000</v>
      </c>
      <c r="U35" s="15">
        <f t="shared" si="6"/>
        <v>1630</v>
      </c>
      <c r="V35" s="30">
        <v>0</v>
      </c>
      <c r="W35" s="38"/>
      <c r="X35" s="17"/>
      <c r="Y35" s="13">
        <f t="shared" si="7"/>
        <v>1630</v>
      </c>
      <c r="Z35" s="13">
        <f t="shared" si="8"/>
        <v>24370</v>
      </c>
      <c r="AA35" s="46">
        <v>19</v>
      </c>
      <c r="AB35" s="46">
        <v>1</v>
      </c>
      <c r="AC35" s="41"/>
      <c r="AD35" s="41"/>
      <c r="AE35" s="14">
        <v>18</v>
      </c>
      <c r="AF35" s="14">
        <v>1.5</v>
      </c>
    </row>
    <row r="36" spans="1:34" ht="18" customHeight="1" x14ac:dyDescent="0.35">
      <c r="A36" s="10">
        <f t="shared" si="9"/>
        <v>29</v>
      </c>
      <c r="B36" s="27">
        <v>102040208666</v>
      </c>
      <c r="C36" s="32" t="s">
        <v>47</v>
      </c>
      <c r="D36" s="32"/>
      <c r="E36" s="74" t="s">
        <v>55</v>
      </c>
      <c r="F36" s="2" t="s">
        <v>57</v>
      </c>
      <c r="G36" s="18" t="s">
        <v>59</v>
      </c>
      <c r="H36" s="67">
        <v>470</v>
      </c>
      <c r="I36" s="79">
        <v>29.5</v>
      </c>
      <c r="J36" s="14">
        <v>30</v>
      </c>
      <c r="K36" s="6">
        <v>19025</v>
      </c>
      <c r="L36" s="6">
        <v>15220</v>
      </c>
      <c r="M36" s="6">
        <v>3805</v>
      </c>
      <c r="N36" s="11">
        <f t="shared" si="0"/>
        <v>38050</v>
      </c>
      <c r="O36" s="12">
        <f t="shared" si="1"/>
        <v>38050</v>
      </c>
      <c r="P36" s="26">
        <f t="shared" si="2"/>
        <v>19025</v>
      </c>
      <c r="Q36" s="26">
        <f t="shared" si="3"/>
        <v>15220</v>
      </c>
      <c r="R36" s="26">
        <f t="shared" si="4"/>
        <v>3805</v>
      </c>
      <c r="S36" s="11"/>
      <c r="T36" s="13">
        <f t="shared" si="5"/>
        <v>38050</v>
      </c>
      <c r="U36" s="15">
        <f t="shared" si="6"/>
        <v>1800</v>
      </c>
      <c r="V36" s="30">
        <v>0</v>
      </c>
      <c r="W36" s="38"/>
      <c r="X36" s="17"/>
      <c r="Y36" s="13">
        <f t="shared" si="7"/>
        <v>1800</v>
      </c>
      <c r="Z36" s="13">
        <f t="shared" si="8"/>
        <v>36250</v>
      </c>
      <c r="AA36" s="46">
        <v>8</v>
      </c>
      <c r="AB36" s="46">
        <v>1</v>
      </c>
      <c r="AC36" s="41"/>
      <c r="AD36" s="41"/>
      <c r="AE36" s="14">
        <v>7</v>
      </c>
      <c r="AF36" s="14">
        <v>1</v>
      </c>
    </row>
    <row r="37" spans="1:34" ht="18" customHeight="1" x14ac:dyDescent="0.35">
      <c r="A37" s="10">
        <f t="shared" si="9"/>
        <v>30</v>
      </c>
      <c r="B37" s="27">
        <v>101713396557</v>
      </c>
      <c r="C37" s="32" t="s">
        <v>47</v>
      </c>
      <c r="D37" s="32"/>
      <c r="E37" s="74" t="s">
        <v>54</v>
      </c>
      <c r="F37" s="2" t="s">
        <v>56</v>
      </c>
      <c r="G37" s="18" t="s">
        <v>58</v>
      </c>
      <c r="H37" s="67">
        <v>471</v>
      </c>
      <c r="I37" s="79">
        <v>29</v>
      </c>
      <c r="J37" s="14">
        <v>30</v>
      </c>
      <c r="K37" s="6">
        <v>20000</v>
      </c>
      <c r="L37" s="6">
        <v>16000</v>
      </c>
      <c r="M37" s="6">
        <v>4000</v>
      </c>
      <c r="N37" s="11">
        <f t="shared" si="0"/>
        <v>40000</v>
      </c>
      <c r="O37" s="12">
        <f t="shared" si="1"/>
        <v>40000</v>
      </c>
      <c r="P37" s="26">
        <f t="shared" si="2"/>
        <v>20000</v>
      </c>
      <c r="Q37" s="26">
        <f t="shared" si="3"/>
        <v>16000</v>
      </c>
      <c r="R37" s="26">
        <f t="shared" si="4"/>
        <v>4000</v>
      </c>
      <c r="S37" s="11"/>
      <c r="T37" s="13">
        <f t="shared" si="5"/>
        <v>40000</v>
      </c>
      <c r="U37" s="15">
        <f t="shared" si="6"/>
        <v>1800</v>
      </c>
      <c r="V37" s="30">
        <v>0</v>
      </c>
      <c r="W37" s="38"/>
      <c r="X37" s="17"/>
      <c r="Y37" s="13">
        <f t="shared" si="7"/>
        <v>1800</v>
      </c>
      <c r="Z37" s="13">
        <f t="shared" si="8"/>
        <v>38200</v>
      </c>
      <c r="AA37" s="46">
        <v>12</v>
      </c>
      <c r="AB37" s="46">
        <v>0.5</v>
      </c>
      <c r="AC37" s="41"/>
      <c r="AD37" s="41"/>
      <c r="AE37" s="14">
        <v>12</v>
      </c>
      <c r="AF37" s="14">
        <v>0</v>
      </c>
    </row>
    <row r="38" spans="1:34" ht="18" customHeight="1" x14ac:dyDescent="0.35">
      <c r="A38" s="10">
        <f t="shared" si="9"/>
        <v>31</v>
      </c>
      <c r="B38" s="27">
        <v>102010227338</v>
      </c>
      <c r="C38" s="32" t="s">
        <v>47</v>
      </c>
      <c r="D38" s="32"/>
      <c r="E38" s="74" t="s">
        <v>51</v>
      </c>
      <c r="F38" s="2" t="s">
        <v>52</v>
      </c>
      <c r="G38" s="18" t="s">
        <v>53</v>
      </c>
      <c r="H38" s="67">
        <v>495</v>
      </c>
      <c r="I38" s="79">
        <v>29.5</v>
      </c>
      <c r="J38" s="14">
        <v>30</v>
      </c>
      <c r="K38" s="6">
        <v>18750</v>
      </c>
      <c r="L38" s="6">
        <v>15000</v>
      </c>
      <c r="M38" s="6">
        <v>3750</v>
      </c>
      <c r="N38" s="11">
        <f t="shared" si="0"/>
        <v>37500</v>
      </c>
      <c r="O38" s="12">
        <f t="shared" si="1"/>
        <v>37500</v>
      </c>
      <c r="P38" s="26">
        <f t="shared" si="2"/>
        <v>18750</v>
      </c>
      <c r="Q38" s="26">
        <f t="shared" si="3"/>
        <v>15000</v>
      </c>
      <c r="R38" s="26">
        <f t="shared" si="4"/>
        <v>3750</v>
      </c>
      <c r="S38" s="11"/>
      <c r="T38" s="13">
        <f t="shared" si="5"/>
        <v>37500</v>
      </c>
      <c r="U38" s="15">
        <f t="shared" si="6"/>
        <v>1800</v>
      </c>
      <c r="V38" s="30">
        <v>0</v>
      </c>
      <c r="W38" s="73"/>
      <c r="X38" s="17"/>
      <c r="Y38" s="13">
        <f t="shared" si="7"/>
        <v>1800</v>
      </c>
      <c r="Z38" s="13">
        <f t="shared" si="8"/>
        <v>35700</v>
      </c>
      <c r="AA38" s="46">
        <v>13</v>
      </c>
      <c r="AB38" s="46">
        <v>0.5</v>
      </c>
      <c r="AC38" s="41"/>
      <c r="AD38" s="41"/>
      <c r="AE38" s="14">
        <v>12</v>
      </c>
      <c r="AF38" s="14">
        <v>0.5</v>
      </c>
    </row>
    <row r="39" spans="1:34" ht="18" customHeight="1" x14ac:dyDescent="0.35">
      <c r="A39" s="10">
        <f t="shared" si="9"/>
        <v>32</v>
      </c>
      <c r="B39" s="27">
        <v>101896019458</v>
      </c>
      <c r="C39" s="29" t="s">
        <v>47</v>
      </c>
      <c r="D39" s="29"/>
      <c r="E39" s="74" t="s">
        <v>48</v>
      </c>
      <c r="F39" s="2" t="s">
        <v>50</v>
      </c>
      <c r="G39" s="18" t="s">
        <v>49</v>
      </c>
      <c r="H39" s="67">
        <v>527</v>
      </c>
      <c r="I39" s="79">
        <v>30</v>
      </c>
      <c r="J39" s="14">
        <v>30</v>
      </c>
      <c r="K39" s="6">
        <v>19000</v>
      </c>
      <c r="L39" s="6">
        <v>15200</v>
      </c>
      <c r="M39" s="6">
        <v>3800</v>
      </c>
      <c r="N39" s="11">
        <f t="shared" si="0"/>
        <v>38000</v>
      </c>
      <c r="O39" s="12">
        <f t="shared" si="1"/>
        <v>38000</v>
      </c>
      <c r="P39" s="26">
        <f t="shared" si="2"/>
        <v>19000</v>
      </c>
      <c r="Q39" s="26">
        <f t="shared" si="3"/>
        <v>15200</v>
      </c>
      <c r="R39" s="26">
        <f t="shared" si="4"/>
        <v>3800</v>
      </c>
      <c r="S39" s="11"/>
      <c r="T39" s="13">
        <f t="shared" si="5"/>
        <v>38000</v>
      </c>
      <c r="U39" s="15">
        <f t="shared" si="6"/>
        <v>1800</v>
      </c>
      <c r="V39" s="30">
        <v>0</v>
      </c>
      <c r="W39" s="38"/>
      <c r="X39" s="17"/>
      <c r="Y39" s="13">
        <f t="shared" si="7"/>
        <v>1800</v>
      </c>
      <c r="Z39" s="13">
        <f t="shared" si="8"/>
        <v>36200</v>
      </c>
      <c r="AA39" s="46">
        <v>13</v>
      </c>
      <c r="AB39" s="46">
        <v>0.5</v>
      </c>
      <c r="AC39" s="41"/>
      <c r="AD39" s="41"/>
      <c r="AE39" s="14">
        <v>12</v>
      </c>
      <c r="AF39" s="14">
        <v>0</v>
      </c>
    </row>
    <row r="40" spans="1:34" ht="18" customHeight="1" x14ac:dyDescent="0.35">
      <c r="A40" s="10">
        <f t="shared" si="9"/>
        <v>33</v>
      </c>
      <c r="B40" s="27">
        <v>101969068066</v>
      </c>
      <c r="C40" s="28" t="s">
        <v>47</v>
      </c>
      <c r="D40" s="28"/>
      <c r="E40" s="74" t="s">
        <v>110</v>
      </c>
      <c r="F40" s="2" t="s">
        <v>41</v>
      </c>
      <c r="G40" s="18" t="s">
        <v>43</v>
      </c>
      <c r="H40" s="67">
        <v>542</v>
      </c>
      <c r="I40" s="79">
        <v>29</v>
      </c>
      <c r="J40" s="14">
        <v>30</v>
      </c>
      <c r="K40" s="6">
        <v>17000</v>
      </c>
      <c r="L40" s="6">
        <v>13600</v>
      </c>
      <c r="M40" s="6">
        <v>3400</v>
      </c>
      <c r="N40" s="11">
        <f t="shared" ref="N40:N71" si="10">K40+L40+M40</f>
        <v>34000</v>
      </c>
      <c r="O40" s="12">
        <f t="shared" ref="O40:O71" si="11">N40</f>
        <v>34000</v>
      </c>
      <c r="P40" s="26">
        <f t="shared" ref="P40:P71" si="12">ROUND(K40/$AD$3*J40,0)</f>
        <v>17000</v>
      </c>
      <c r="Q40" s="26">
        <f t="shared" ref="Q40:Q71" si="13">ROUND(L40/$AD$3*J40,0)</f>
        <v>13600</v>
      </c>
      <c r="R40" s="26">
        <f t="shared" ref="R40:R71" si="14">ROUND(M40/$AD$3*J40,0)</f>
        <v>3400</v>
      </c>
      <c r="S40" s="11"/>
      <c r="T40" s="13">
        <f t="shared" ref="T40:T71" si="15">P40+Q40+R40</f>
        <v>34000</v>
      </c>
      <c r="U40" s="15">
        <f t="shared" ref="U40:U71" si="16">ROUND(IF(K40&gt;15000,(15000/$AD$3*J40)*12%,P40*12%)*1,0)</f>
        <v>1800</v>
      </c>
      <c r="V40" s="30">
        <v>0</v>
      </c>
      <c r="W40" s="73"/>
      <c r="X40" s="17"/>
      <c r="Y40" s="13">
        <f t="shared" ref="Y40:Y71" si="17">U40+V40+W40+X40</f>
        <v>1800</v>
      </c>
      <c r="Z40" s="13">
        <f t="shared" ref="Z40:Z71" si="18">T40-Y40</f>
        <v>32200</v>
      </c>
      <c r="AA40" s="46">
        <v>15</v>
      </c>
      <c r="AB40" s="46">
        <v>1</v>
      </c>
      <c r="AC40" s="41"/>
      <c r="AD40" s="41"/>
      <c r="AE40" s="14">
        <v>14</v>
      </c>
      <c r="AF40" s="14">
        <v>1.5</v>
      </c>
      <c r="AG40" s="36"/>
      <c r="AH40" s="36"/>
    </row>
    <row r="41" spans="1:34" ht="18" customHeight="1" x14ac:dyDescent="0.35">
      <c r="A41" s="10">
        <f t="shared" si="9"/>
        <v>34</v>
      </c>
      <c r="B41" s="27">
        <v>101389284754</v>
      </c>
      <c r="C41" s="28" t="s">
        <v>47</v>
      </c>
      <c r="D41" s="28"/>
      <c r="E41" s="74" t="s">
        <v>71</v>
      </c>
      <c r="F41" s="2" t="s">
        <v>40</v>
      </c>
      <c r="G41" s="18" t="s">
        <v>42</v>
      </c>
      <c r="H41" s="67">
        <v>544</v>
      </c>
      <c r="I41" s="79">
        <v>29</v>
      </c>
      <c r="J41" s="14">
        <v>30</v>
      </c>
      <c r="K41" s="6">
        <v>15800</v>
      </c>
      <c r="L41" s="6">
        <v>12640</v>
      </c>
      <c r="M41" s="6">
        <v>3160</v>
      </c>
      <c r="N41" s="11">
        <f t="shared" si="10"/>
        <v>31600</v>
      </c>
      <c r="O41" s="12">
        <f t="shared" si="11"/>
        <v>31600</v>
      </c>
      <c r="P41" s="26">
        <f t="shared" si="12"/>
        <v>15800</v>
      </c>
      <c r="Q41" s="26">
        <f t="shared" si="13"/>
        <v>12640</v>
      </c>
      <c r="R41" s="26">
        <f t="shared" si="14"/>
        <v>3160</v>
      </c>
      <c r="S41" s="11"/>
      <c r="T41" s="13">
        <f t="shared" si="15"/>
        <v>31600</v>
      </c>
      <c r="U41" s="15">
        <f t="shared" si="16"/>
        <v>1800</v>
      </c>
      <c r="V41" s="30">
        <v>0</v>
      </c>
      <c r="W41" s="38"/>
      <c r="X41" s="17"/>
      <c r="Y41" s="13">
        <f t="shared" si="17"/>
        <v>1800</v>
      </c>
      <c r="Z41" s="13">
        <f t="shared" si="18"/>
        <v>29800</v>
      </c>
      <c r="AA41" s="46">
        <v>15</v>
      </c>
      <c r="AB41" s="46">
        <v>0</v>
      </c>
      <c r="AC41" s="41"/>
      <c r="AD41" s="41"/>
      <c r="AE41" s="14">
        <v>14</v>
      </c>
      <c r="AF41" s="14">
        <v>0.5</v>
      </c>
    </row>
    <row r="42" spans="1:34" ht="18" customHeight="1" x14ac:dyDescent="0.35">
      <c r="A42" s="10">
        <f t="shared" si="9"/>
        <v>35</v>
      </c>
      <c r="B42" s="27">
        <v>101739581766</v>
      </c>
      <c r="C42" s="10" t="s">
        <v>47</v>
      </c>
      <c r="D42" s="10"/>
      <c r="E42" s="74" t="s">
        <v>38</v>
      </c>
      <c r="F42" s="2" t="s">
        <v>26</v>
      </c>
      <c r="G42" s="2" t="s">
        <v>25</v>
      </c>
      <c r="H42" s="67">
        <v>707</v>
      </c>
      <c r="I42" s="79">
        <v>30</v>
      </c>
      <c r="J42" s="14">
        <v>30</v>
      </c>
      <c r="K42" s="6">
        <v>32500</v>
      </c>
      <c r="L42" s="6">
        <v>26000</v>
      </c>
      <c r="M42" s="6">
        <v>6500</v>
      </c>
      <c r="N42" s="11">
        <f t="shared" si="10"/>
        <v>65000</v>
      </c>
      <c r="O42" s="12">
        <f t="shared" si="11"/>
        <v>65000</v>
      </c>
      <c r="P42" s="26">
        <f t="shared" si="12"/>
        <v>32500</v>
      </c>
      <c r="Q42" s="26">
        <f t="shared" si="13"/>
        <v>26000</v>
      </c>
      <c r="R42" s="26">
        <f t="shared" si="14"/>
        <v>6500</v>
      </c>
      <c r="S42" s="11"/>
      <c r="T42" s="13">
        <f t="shared" si="15"/>
        <v>65000</v>
      </c>
      <c r="U42" s="15">
        <f t="shared" si="16"/>
        <v>1800</v>
      </c>
      <c r="V42" s="31">
        <v>0</v>
      </c>
      <c r="W42" s="73"/>
      <c r="X42" s="17"/>
      <c r="Y42" s="13">
        <f t="shared" si="17"/>
        <v>1800</v>
      </c>
      <c r="Z42" s="13">
        <f t="shared" si="18"/>
        <v>63200</v>
      </c>
      <c r="AA42" s="46">
        <v>28</v>
      </c>
      <c r="AB42" s="46">
        <v>2</v>
      </c>
      <c r="AC42" s="41"/>
      <c r="AD42" s="41"/>
      <c r="AE42" s="14">
        <v>27</v>
      </c>
      <c r="AF42" s="14">
        <v>1.5</v>
      </c>
      <c r="AG42" s="36"/>
      <c r="AH42" s="36"/>
    </row>
    <row r="43" spans="1:34" ht="18" customHeight="1" x14ac:dyDescent="0.35">
      <c r="A43" s="10">
        <f t="shared" si="9"/>
        <v>36</v>
      </c>
      <c r="B43" s="27">
        <v>101739581811</v>
      </c>
      <c r="C43" s="32" t="s">
        <v>47</v>
      </c>
      <c r="D43" s="32"/>
      <c r="E43" s="74" t="s">
        <v>37</v>
      </c>
      <c r="F43" s="2" t="s">
        <v>23</v>
      </c>
      <c r="G43" s="2" t="s">
        <v>24</v>
      </c>
      <c r="H43" s="67">
        <v>710</v>
      </c>
      <c r="I43" s="79">
        <v>30</v>
      </c>
      <c r="J43" s="14">
        <v>30</v>
      </c>
      <c r="K43" s="6">
        <v>29488</v>
      </c>
      <c r="L43" s="6">
        <v>23590</v>
      </c>
      <c r="M43" s="6">
        <v>5897</v>
      </c>
      <c r="N43" s="11">
        <f t="shared" si="10"/>
        <v>58975</v>
      </c>
      <c r="O43" s="12">
        <f t="shared" si="11"/>
        <v>58975</v>
      </c>
      <c r="P43" s="26">
        <f t="shared" si="12"/>
        <v>29488</v>
      </c>
      <c r="Q43" s="26">
        <f t="shared" si="13"/>
        <v>23590</v>
      </c>
      <c r="R43" s="26">
        <f t="shared" si="14"/>
        <v>5897</v>
      </c>
      <c r="S43" s="11"/>
      <c r="T43" s="13">
        <f t="shared" si="15"/>
        <v>58975</v>
      </c>
      <c r="U43" s="15">
        <f t="shared" si="16"/>
        <v>1800</v>
      </c>
      <c r="V43" s="30">
        <v>0</v>
      </c>
      <c r="W43" s="38"/>
      <c r="X43" s="17"/>
      <c r="Y43" s="13">
        <f t="shared" si="17"/>
        <v>1800</v>
      </c>
      <c r="Z43" s="13">
        <f t="shared" si="18"/>
        <v>57175</v>
      </c>
      <c r="AA43" s="46">
        <v>25</v>
      </c>
      <c r="AB43" s="46">
        <v>0.5</v>
      </c>
      <c r="AC43" s="41"/>
      <c r="AD43" s="41"/>
      <c r="AE43" s="14">
        <v>24</v>
      </c>
      <c r="AF43" s="14">
        <v>0</v>
      </c>
    </row>
    <row r="44" spans="1:34" ht="18" customHeight="1" x14ac:dyDescent="0.35">
      <c r="A44" s="10">
        <f t="shared" si="9"/>
        <v>37</v>
      </c>
      <c r="B44" s="26">
        <v>102157808151</v>
      </c>
      <c r="C44" s="32">
        <v>2810711235</v>
      </c>
      <c r="D44" s="32"/>
      <c r="E44" s="74" t="s">
        <v>92</v>
      </c>
      <c r="F44" s="2" t="s">
        <v>96</v>
      </c>
      <c r="G44" s="2" t="s">
        <v>94</v>
      </c>
      <c r="H44" s="67">
        <v>863</v>
      </c>
      <c r="I44" s="79">
        <v>29</v>
      </c>
      <c r="J44" s="14">
        <v>30</v>
      </c>
      <c r="K44" s="6">
        <v>15000</v>
      </c>
      <c r="L44" s="6">
        <v>12000</v>
      </c>
      <c r="M44" s="6">
        <v>3000</v>
      </c>
      <c r="N44" s="11">
        <f t="shared" si="10"/>
        <v>30000</v>
      </c>
      <c r="O44" s="12">
        <f t="shared" si="11"/>
        <v>30000</v>
      </c>
      <c r="P44" s="26">
        <f t="shared" si="12"/>
        <v>15000</v>
      </c>
      <c r="Q44" s="26">
        <f t="shared" si="13"/>
        <v>12000</v>
      </c>
      <c r="R44" s="26">
        <f t="shared" si="14"/>
        <v>3000</v>
      </c>
      <c r="S44" s="11"/>
      <c r="T44" s="13">
        <f t="shared" si="15"/>
        <v>30000</v>
      </c>
      <c r="U44" s="15">
        <f t="shared" si="16"/>
        <v>1800</v>
      </c>
      <c r="V44" s="30">
        <v>0</v>
      </c>
      <c r="W44" s="38"/>
      <c r="X44" s="17"/>
      <c r="Y44" s="13">
        <f t="shared" si="17"/>
        <v>1800</v>
      </c>
      <c r="Z44" s="13">
        <f t="shared" si="18"/>
        <v>28200</v>
      </c>
      <c r="AA44" s="46">
        <v>1</v>
      </c>
      <c r="AB44" s="46">
        <v>0.5</v>
      </c>
      <c r="AC44" s="41"/>
      <c r="AD44" s="41"/>
      <c r="AE44" s="14">
        <v>1</v>
      </c>
      <c r="AF44" s="14">
        <v>0</v>
      </c>
    </row>
    <row r="45" spans="1:34" ht="18" customHeight="1" x14ac:dyDescent="0.35">
      <c r="A45" s="10">
        <f t="shared" si="9"/>
        <v>38</v>
      </c>
      <c r="B45" s="49">
        <v>102232796760</v>
      </c>
      <c r="C45" s="58">
        <v>2810757833</v>
      </c>
      <c r="D45" s="58" t="s">
        <v>175</v>
      </c>
      <c r="E45" s="50" t="s">
        <v>136</v>
      </c>
      <c r="F45" s="51" t="s">
        <v>140</v>
      </c>
      <c r="G45" s="51" t="s">
        <v>144</v>
      </c>
      <c r="H45" s="69">
        <v>971</v>
      </c>
      <c r="I45" s="76">
        <v>2</v>
      </c>
      <c r="J45" s="52">
        <v>2</v>
      </c>
      <c r="K45" s="53">
        <v>13580</v>
      </c>
      <c r="L45" s="53">
        <v>6420</v>
      </c>
      <c r="M45" s="53">
        <v>0</v>
      </c>
      <c r="N45" s="50">
        <f t="shared" si="10"/>
        <v>20000</v>
      </c>
      <c r="O45" s="54">
        <f t="shared" si="11"/>
        <v>20000</v>
      </c>
      <c r="P45" s="49">
        <f t="shared" si="12"/>
        <v>905</v>
      </c>
      <c r="Q45" s="49">
        <f t="shared" si="13"/>
        <v>428</v>
      </c>
      <c r="R45" s="49">
        <f t="shared" si="14"/>
        <v>0</v>
      </c>
      <c r="S45" s="50"/>
      <c r="T45" s="55">
        <f t="shared" si="15"/>
        <v>1333</v>
      </c>
      <c r="U45" s="47">
        <f t="shared" si="16"/>
        <v>109</v>
      </c>
      <c r="V45" s="56">
        <f>ROUNDUP(T45*0.75%,0)</f>
        <v>10</v>
      </c>
      <c r="W45" s="38"/>
      <c r="X45" s="57"/>
      <c r="Y45" s="55">
        <f t="shared" si="17"/>
        <v>119</v>
      </c>
      <c r="Z45" s="55">
        <f t="shared" si="18"/>
        <v>1214</v>
      </c>
      <c r="AA45" s="52">
        <v>0</v>
      </c>
      <c r="AB45" s="52">
        <v>0</v>
      </c>
      <c r="AC45" s="77"/>
      <c r="AD45" s="77"/>
      <c r="AE45" s="52">
        <v>0</v>
      </c>
      <c r="AF45" s="52">
        <v>0</v>
      </c>
      <c r="AH45" t="s">
        <v>292</v>
      </c>
    </row>
    <row r="46" spans="1:34" ht="18" customHeight="1" x14ac:dyDescent="0.35">
      <c r="A46" s="10">
        <f t="shared" si="9"/>
        <v>39</v>
      </c>
      <c r="B46" s="26">
        <v>102244245606</v>
      </c>
      <c r="C46" s="26">
        <v>2810770861</v>
      </c>
      <c r="D46" s="26"/>
      <c r="E46" s="1" t="s">
        <v>147</v>
      </c>
      <c r="F46" s="2" t="s">
        <v>148</v>
      </c>
      <c r="G46" s="2" t="s">
        <v>149</v>
      </c>
      <c r="H46" s="67">
        <v>1088</v>
      </c>
      <c r="I46" s="79">
        <v>28.5</v>
      </c>
      <c r="J46" s="14">
        <v>30</v>
      </c>
      <c r="K46" s="6">
        <v>13580</v>
      </c>
      <c r="L46" s="6">
        <v>3420</v>
      </c>
      <c r="M46" s="6">
        <v>0</v>
      </c>
      <c r="N46" s="11">
        <f t="shared" si="10"/>
        <v>17000</v>
      </c>
      <c r="O46" s="12">
        <f t="shared" si="11"/>
        <v>17000</v>
      </c>
      <c r="P46" s="26">
        <f t="shared" si="12"/>
        <v>13580</v>
      </c>
      <c r="Q46" s="26">
        <f t="shared" si="13"/>
        <v>3420</v>
      </c>
      <c r="R46" s="26">
        <f t="shared" si="14"/>
        <v>0</v>
      </c>
      <c r="S46" s="11"/>
      <c r="T46" s="13">
        <f t="shared" si="15"/>
        <v>17000</v>
      </c>
      <c r="U46" s="15">
        <f t="shared" si="16"/>
        <v>1630</v>
      </c>
      <c r="V46" s="16">
        <f>ROUNDUP(T46*0.75%,0)</f>
        <v>128</v>
      </c>
      <c r="W46" s="38"/>
      <c r="X46" s="17"/>
      <c r="Y46" s="13">
        <f t="shared" si="17"/>
        <v>1758</v>
      </c>
      <c r="Z46" s="13">
        <f t="shared" si="18"/>
        <v>15242</v>
      </c>
      <c r="AA46" s="46">
        <v>5</v>
      </c>
      <c r="AB46" s="46">
        <v>0.5</v>
      </c>
      <c r="AC46" s="41"/>
      <c r="AD46" s="41"/>
      <c r="AE46" s="14">
        <v>4</v>
      </c>
      <c r="AF46" s="14">
        <v>1.5</v>
      </c>
    </row>
    <row r="47" spans="1:34" ht="18" customHeight="1" x14ac:dyDescent="0.35">
      <c r="A47" s="10">
        <f t="shared" si="9"/>
        <v>40</v>
      </c>
      <c r="B47" s="26">
        <v>102232796741</v>
      </c>
      <c r="C47" s="32">
        <v>2810757834</v>
      </c>
      <c r="D47" s="32"/>
      <c r="E47" s="74" t="s">
        <v>138</v>
      </c>
      <c r="F47" s="2" t="s">
        <v>142</v>
      </c>
      <c r="G47" s="2" t="s">
        <v>146</v>
      </c>
      <c r="H47" s="67">
        <v>1101</v>
      </c>
      <c r="I47" s="79">
        <v>29.5</v>
      </c>
      <c r="J47" s="14">
        <v>30</v>
      </c>
      <c r="K47" s="6">
        <v>13500</v>
      </c>
      <c r="L47" s="6">
        <v>0</v>
      </c>
      <c r="M47" s="6">
        <v>0</v>
      </c>
      <c r="N47" s="11">
        <f t="shared" si="10"/>
        <v>13500</v>
      </c>
      <c r="O47" s="12">
        <f t="shared" si="11"/>
        <v>13500</v>
      </c>
      <c r="P47" s="26">
        <f t="shared" si="12"/>
        <v>13500</v>
      </c>
      <c r="Q47" s="26">
        <f t="shared" si="13"/>
        <v>0</v>
      </c>
      <c r="R47" s="26">
        <f t="shared" si="14"/>
        <v>0</v>
      </c>
      <c r="S47" s="11"/>
      <c r="T47" s="13">
        <f t="shared" si="15"/>
        <v>13500</v>
      </c>
      <c r="U47" s="15">
        <f t="shared" si="16"/>
        <v>1620</v>
      </c>
      <c r="V47" s="16">
        <f>ROUNDUP(T47*0.75%,0)</f>
        <v>102</v>
      </c>
      <c r="W47" s="38"/>
      <c r="X47" s="17"/>
      <c r="Y47" s="13">
        <f t="shared" si="17"/>
        <v>1722</v>
      </c>
      <c r="Z47" s="13">
        <f t="shared" si="18"/>
        <v>11778</v>
      </c>
      <c r="AA47" s="46">
        <v>9</v>
      </c>
      <c r="AB47" s="46">
        <v>0.5</v>
      </c>
      <c r="AC47" s="41"/>
      <c r="AD47" s="41"/>
      <c r="AE47" s="14">
        <v>8</v>
      </c>
      <c r="AF47" s="14">
        <v>1.5</v>
      </c>
    </row>
    <row r="48" spans="1:34" ht="18" customHeight="1" x14ac:dyDescent="0.35">
      <c r="A48" s="10">
        <f t="shared" si="9"/>
        <v>41</v>
      </c>
      <c r="B48" s="26">
        <v>101574677500</v>
      </c>
      <c r="C48" s="26" t="s">
        <v>47</v>
      </c>
      <c r="D48" s="32" t="s">
        <v>175</v>
      </c>
      <c r="E48" s="74" t="s">
        <v>157</v>
      </c>
      <c r="F48" s="2" t="s">
        <v>160</v>
      </c>
      <c r="G48" s="2" t="s">
        <v>163</v>
      </c>
      <c r="H48" s="67">
        <v>1292</v>
      </c>
      <c r="I48" s="75">
        <v>30</v>
      </c>
      <c r="J48" s="14">
        <v>30</v>
      </c>
      <c r="K48" s="6">
        <v>21000</v>
      </c>
      <c r="L48" s="6">
        <v>16800</v>
      </c>
      <c r="M48" s="6">
        <v>4200</v>
      </c>
      <c r="N48" s="11">
        <f t="shared" si="10"/>
        <v>42000</v>
      </c>
      <c r="O48" s="12">
        <f t="shared" si="11"/>
        <v>42000</v>
      </c>
      <c r="P48" s="26">
        <f t="shared" si="12"/>
        <v>21000</v>
      </c>
      <c r="Q48" s="26">
        <f t="shared" si="13"/>
        <v>16800</v>
      </c>
      <c r="R48" s="26">
        <f t="shared" si="14"/>
        <v>4200</v>
      </c>
      <c r="S48" s="11"/>
      <c r="T48" s="13">
        <f t="shared" si="15"/>
        <v>42000</v>
      </c>
      <c r="U48" s="15">
        <f t="shared" si="16"/>
        <v>1800</v>
      </c>
      <c r="V48" s="30">
        <v>0</v>
      </c>
      <c r="W48" s="38"/>
      <c r="X48" s="17"/>
      <c r="Y48" s="13">
        <f t="shared" si="17"/>
        <v>1800</v>
      </c>
      <c r="Z48" s="13">
        <f t="shared" si="18"/>
        <v>40200</v>
      </c>
      <c r="AA48" s="46">
        <v>1</v>
      </c>
      <c r="AB48" s="46">
        <v>0.5</v>
      </c>
      <c r="AC48" s="41"/>
      <c r="AD48" s="41"/>
      <c r="AE48" s="14">
        <v>0</v>
      </c>
      <c r="AF48" s="14">
        <v>0</v>
      </c>
    </row>
    <row r="49" spans="1:33" ht="18" customHeight="1" x14ac:dyDescent="0.35">
      <c r="A49" s="10">
        <f t="shared" si="9"/>
        <v>42</v>
      </c>
      <c r="B49" s="26">
        <v>102280508008</v>
      </c>
      <c r="C49" s="26" t="s">
        <v>47</v>
      </c>
      <c r="D49" s="32" t="s">
        <v>175</v>
      </c>
      <c r="E49" s="1" t="s">
        <v>155</v>
      </c>
      <c r="F49" s="2" t="s">
        <v>158</v>
      </c>
      <c r="G49" s="2" t="s">
        <v>161</v>
      </c>
      <c r="H49" s="67">
        <v>1294</v>
      </c>
      <c r="I49" s="75">
        <v>27</v>
      </c>
      <c r="J49" s="14">
        <v>28.5</v>
      </c>
      <c r="K49" s="6">
        <v>13580</v>
      </c>
      <c r="L49" s="6">
        <v>9800</v>
      </c>
      <c r="M49" s="6">
        <v>1120</v>
      </c>
      <c r="N49" s="11">
        <f t="shared" si="10"/>
        <v>24500</v>
      </c>
      <c r="O49" s="12">
        <f t="shared" si="11"/>
        <v>24500</v>
      </c>
      <c r="P49" s="26">
        <f t="shared" si="12"/>
        <v>12901</v>
      </c>
      <c r="Q49" s="26">
        <f t="shared" si="13"/>
        <v>9310</v>
      </c>
      <c r="R49" s="26">
        <f t="shared" si="14"/>
        <v>1064</v>
      </c>
      <c r="S49" s="11"/>
      <c r="T49" s="13">
        <f t="shared" si="15"/>
        <v>23275</v>
      </c>
      <c r="U49" s="15">
        <f t="shared" si="16"/>
        <v>1548</v>
      </c>
      <c r="V49" s="30">
        <v>0</v>
      </c>
      <c r="W49" s="38"/>
      <c r="X49" s="17"/>
      <c r="Y49" s="13">
        <f t="shared" si="17"/>
        <v>1548</v>
      </c>
      <c r="Z49" s="13">
        <f t="shared" si="18"/>
        <v>21727</v>
      </c>
      <c r="AA49" s="46">
        <v>0</v>
      </c>
      <c r="AB49" s="46">
        <v>0</v>
      </c>
      <c r="AC49" s="41"/>
      <c r="AD49" s="41"/>
      <c r="AE49" s="14">
        <v>0</v>
      </c>
      <c r="AF49" s="14">
        <v>0</v>
      </c>
    </row>
    <row r="50" spans="1:33" ht="18" customHeight="1" x14ac:dyDescent="0.35">
      <c r="A50" s="10">
        <f t="shared" si="9"/>
        <v>43</v>
      </c>
      <c r="B50" s="26">
        <v>102274611100</v>
      </c>
      <c r="C50" s="26">
        <v>2810793800</v>
      </c>
      <c r="D50" s="32" t="s">
        <v>175</v>
      </c>
      <c r="E50" s="1" t="s">
        <v>156</v>
      </c>
      <c r="F50" s="2" t="s">
        <v>159</v>
      </c>
      <c r="G50" s="2" t="s">
        <v>162</v>
      </c>
      <c r="H50" s="67">
        <v>1316</v>
      </c>
      <c r="I50" s="75">
        <v>28.5</v>
      </c>
      <c r="J50" s="14">
        <v>30</v>
      </c>
      <c r="K50" s="6">
        <v>13580</v>
      </c>
      <c r="L50" s="6">
        <v>6420</v>
      </c>
      <c r="M50" s="6">
        <v>0</v>
      </c>
      <c r="N50" s="11">
        <f t="shared" si="10"/>
        <v>20000</v>
      </c>
      <c r="O50" s="12">
        <f t="shared" si="11"/>
        <v>20000</v>
      </c>
      <c r="P50" s="26">
        <f t="shared" si="12"/>
        <v>13580</v>
      </c>
      <c r="Q50" s="26">
        <f t="shared" si="13"/>
        <v>6420</v>
      </c>
      <c r="R50" s="26">
        <f t="shared" si="14"/>
        <v>0</v>
      </c>
      <c r="S50" s="11"/>
      <c r="T50" s="13">
        <f t="shared" si="15"/>
        <v>20000</v>
      </c>
      <c r="U50" s="15">
        <f t="shared" si="16"/>
        <v>1630</v>
      </c>
      <c r="V50" s="16">
        <f>ROUNDUP(T50*0.75%,0)</f>
        <v>150</v>
      </c>
      <c r="W50" s="38"/>
      <c r="X50" s="17"/>
      <c r="Y50" s="13">
        <f t="shared" si="17"/>
        <v>1780</v>
      </c>
      <c r="Z50" s="13">
        <f t="shared" si="18"/>
        <v>18220</v>
      </c>
      <c r="AA50" s="46">
        <v>0</v>
      </c>
      <c r="AB50" s="46">
        <v>0</v>
      </c>
      <c r="AC50" s="41"/>
      <c r="AD50" s="41"/>
      <c r="AE50" s="14">
        <v>0</v>
      </c>
      <c r="AF50" s="14">
        <v>0</v>
      </c>
    </row>
    <row r="51" spans="1:33" ht="18" customHeight="1" x14ac:dyDescent="0.35">
      <c r="A51" s="10">
        <f t="shared" si="9"/>
        <v>44</v>
      </c>
      <c r="B51" s="26">
        <v>102138761797</v>
      </c>
      <c r="C51" s="26" t="s">
        <v>47</v>
      </c>
      <c r="D51" s="32" t="s">
        <v>175</v>
      </c>
      <c r="E51" s="1" t="s">
        <v>164</v>
      </c>
      <c r="F51" s="2" t="s">
        <v>165</v>
      </c>
      <c r="G51" s="2" t="s">
        <v>166</v>
      </c>
      <c r="H51" s="67">
        <v>1336</v>
      </c>
      <c r="I51" s="75">
        <v>19</v>
      </c>
      <c r="J51" s="14">
        <v>20.5</v>
      </c>
      <c r="K51" s="6">
        <v>13580</v>
      </c>
      <c r="L51" s="6">
        <v>8420</v>
      </c>
      <c r="M51" s="6">
        <v>0</v>
      </c>
      <c r="N51" s="11">
        <f t="shared" si="10"/>
        <v>22000</v>
      </c>
      <c r="O51" s="12">
        <f t="shared" si="11"/>
        <v>22000</v>
      </c>
      <c r="P51" s="26">
        <f t="shared" si="12"/>
        <v>9280</v>
      </c>
      <c r="Q51" s="26">
        <f t="shared" si="13"/>
        <v>5754</v>
      </c>
      <c r="R51" s="26">
        <f t="shared" si="14"/>
        <v>0</v>
      </c>
      <c r="S51" s="11"/>
      <c r="T51" s="13">
        <f t="shared" si="15"/>
        <v>15034</v>
      </c>
      <c r="U51" s="15">
        <f t="shared" si="16"/>
        <v>1114</v>
      </c>
      <c r="V51" s="30">
        <v>0</v>
      </c>
      <c r="W51" s="38"/>
      <c r="X51" s="17"/>
      <c r="Y51" s="13">
        <f t="shared" si="17"/>
        <v>1114</v>
      </c>
      <c r="Z51" s="13">
        <f t="shared" si="18"/>
        <v>13920</v>
      </c>
      <c r="AA51" s="46">
        <v>0</v>
      </c>
      <c r="AB51" s="46">
        <v>0</v>
      </c>
      <c r="AC51" s="41"/>
      <c r="AD51" s="41"/>
      <c r="AE51" s="14">
        <v>0</v>
      </c>
      <c r="AF51" s="14">
        <v>0</v>
      </c>
    </row>
    <row r="52" spans="1:33" ht="18" customHeight="1" x14ac:dyDescent="0.35">
      <c r="A52" s="10">
        <f t="shared" si="9"/>
        <v>45</v>
      </c>
      <c r="B52" s="26">
        <v>101659463264</v>
      </c>
      <c r="C52" s="26" t="s">
        <v>47</v>
      </c>
      <c r="D52" s="32" t="s">
        <v>175</v>
      </c>
      <c r="E52" s="1" t="s">
        <v>167</v>
      </c>
      <c r="F52" s="2" t="s">
        <v>186</v>
      </c>
      <c r="G52" s="2" t="s">
        <v>176</v>
      </c>
      <c r="H52" s="67">
        <v>1368</v>
      </c>
      <c r="I52" s="75">
        <v>28</v>
      </c>
      <c r="J52" s="14">
        <v>29.5</v>
      </c>
      <c r="K52" s="6">
        <v>13580</v>
      </c>
      <c r="L52" s="6">
        <v>9600</v>
      </c>
      <c r="M52" s="6">
        <v>820</v>
      </c>
      <c r="N52" s="11">
        <f t="shared" si="10"/>
        <v>24000</v>
      </c>
      <c r="O52" s="12">
        <f t="shared" si="11"/>
        <v>24000</v>
      </c>
      <c r="P52" s="26">
        <f t="shared" si="12"/>
        <v>13354</v>
      </c>
      <c r="Q52" s="26">
        <f t="shared" si="13"/>
        <v>9440</v>
      </c>
      <c r="R52" s="26">
        <f t="shared" si="14"/>
        <v>806</v>
      </c>
      <c r="S52" s="11"/>
      <c r="T52" s="13">
        <f t="shared" si="15"/>
        <v>23600</v>
      </c>
      <c r="U52" s="15">
        <f t="shared" si="16"/>
        <v>1602</v>
      </c>
      <c r="V52" s="30">
        <v>0</v>
      </c>
      <c r="W52" s="38"/>
      <c r="X52" s="17"/>
      <c r="Y52" s="13">
        <f t="shared" si="17"/>
        <v>1602</v>
      </c>
      <c r="Z52" s="13">
        <f t="shared" si="18"/>
        <v>21998</v>
      </c>
      <c r="AA52" s="46">
        <v>0</v>
      </c>
      <c r="AB52" s="46">
        <v>0</v>
      </c>
      <c r="AC52" s="41"/>
      <c r="AD52" s="41"/>
      <c r="AE52" s="14">
        <v>0</v>
      </c>
      <c r="AF52" s="14">
        <v>0</v>
      </c>
    </row>
    <row r="53" spans="1:33" ht="18" customHeight="1" x14ac:dyDescent="0.35">
      <c r="A53" s="10">
        <f t="shared" si="9"/>
        <v>46</v>
      </c>
      <c r="B53" s="26">
        <v>102282948403</v>
      </c>
      <c r="C53" s="26">
        <v>2810798605</v>
      </c>
      <c r="D53" s="26"/>
      <c r="E53" s="1" t="s">
        <v>172</v>
      </c>
      <c r="F53" s="2" t="s">
        <v>191</v>
      </c>
      <c r="G53" s="2" t="s">
        <v>181</v>
      </c>
      <c r="H53" s="67">
        <v>1370</v>
      </c>
      <c r="I53" s="79">
        <v>29</v>
      </c>
      <c r="J53" s="14">
        <v>30</v>
      </c>
      <c r="K53" s="6">
        <v>13580</v>
      </c>
      <c r="L53" s="6">
        <v>1420</v>
      </c>
      <c r="M53" s="6">
        <v>0</v>
      </c>
      <c r="N53" s="11">
        <f t="shared" si="10"/>
        <v>15000</v>
      </c>
      <c r="O53" s="12">
        <f t="shared" si="11"/>
        <v>15000</v>
      </c>
      <c r="P53" s="26">
        <f t="shared" si="12"/>
        <v>13580</v>
      </c>
      <c r="Q53" s="26">
        <f t="shared" si="13"/>
        <v>1420</v>
      </c>
      <c r="R53" s="26">
        <f t="shared" si="14"/>
        <v>0</v>
      </c>
      <c r="S53" s="11"/>
      <c r="T53" s="13">
        <f t="shared" si="15"/>
        <v>15000</v>
      </c>
      <c r="U53" s="15">
        <f t="shared" si="16"/>
        <v>1630</v>
      </c>
      <c r="V53" s="16">
        <f>ROUNDUP(T53*0.75%,0)</f>
        <v>113</v>
      </c>
      <c r="W53" s="38"/>
      <c r="X53" s="17"/>
      <c r="Y53" s="13">
        <f t="shared" si="17"/>
        <v>1743</v>
      </c>
      <c r="Z53" s="13">
        <f t="shared" si="18"/>
        <v>13257</v>
      </c>
      <c r="AA53" s="46">
        <v>3</v>
      </c>
      <c r="AB53" s="46">
        <v>1</v>
      </c>
      <c r="AC53" s="41"/>
      <c r="AD53" s="41"/>
      <c r="AE53" s="14">
        <v>2</v>
      </c>
      <c r="AF53" s="14">
        <v>1.5</v>
      </c>
    </row>
    <row r="54" spans="1:33" ht="18" customHeight="1" x14ac:dyDescent="0.35">
      <c r="A54" s="10">
        <f t="shared" si="9"/>
        <v>47</v>
      </c>
      <c r="B54" s="26">
        <v>102281881174</v>
      </c>
      <c r="C54" s="26">
        <v>2810798592</v>
      </c>
      <c r="D54" s="26"/>
      <c r="E54" s="1" t="s">
        <v>171</v>
      </c>
      <c r="F54" s="2" t="s">
        <v>190</v>
      </c>
      <c r="G54" s="2" t="s">
        <v>180</v>
      </c>
      <c r="H54" s="67">
        <v>1372</v>
      </c>
      <c r="I54" s="79">
        <v>30</v>
      </c>
      <c r="J54" s="14">
        <v>30</v>
      </c>
      <c r="K54" s="6">
        <v>13580</v>
      </c>
      <c r="L54" s="6">
        <v>1420</v>
      </c>
      <c r="M54" s="6">
        <v>0</v>
      </c>
      <c r="N54" s="11">
        <f t="shared" si="10"/>
        <v>15000</v>
      </c>
      <c r="O54" s="12">
        <f t="shared" si="11"/>
        <v>15000</v>
      </c>
      <c r="P54" s="26">
        <f t="shared" si="12"/>
        <v>13580</v>
      </c>
      <c r="Q54" s="26">
        <f t="shared" si="13"/>
        <v>1420</v>
      </c>
      <c r="R54" s="26">
        <f t="shared" si="14"/>
        <v>0</v>
      </c>
      <c r="S54" s="11"/>
      <c r="T54" s="13">
        <f t="shared" si="15"/>
        <v>15000</v>
      </c>
      <c r="U54" s="15">
        <f t="shared" si="16"/>
        <v>1630</v>
      </c>
      <c r="V54" s="16">
        <f>ROUNDUP(T54*0.75%,0)</f>
        <v>113</v>
      </c>
      <c r="W54" s="38"/>
      <c r="X54" s="17"/>
      <c r="Y54" s="13">
        <f t="shared" si="17"/>
        <v>1743</v>
      </c>
      <c r="Z54" s="13">
        <f t="shared" si="18"/>
        <v>13257</v>
      </c>
      <c r="AA54" s="46">
        <v>4</v>
      </c>
      <c r="AB54" s="46">
        <v>2</v>
      </c>
      <c r="AC54" s="41"/>
      <c r="AD54" s="41"/>
      <c r="AE54" s="14">
        <v>3</v>
      </c>
      <c r="AF54" s="14">
        <v>1.5</v>
      </c>
    </row>
    <row r="55" spans="1:33" ht="18" customHeight="1" x14ac:dyDescent="0.35">
      <c r="A55" s="10">
        <f t="shared" si="9"/>
        <v>48</v>
      </c>
      <c r="B55" s="26">
        <v>101817727490</v>
      </c>
      <c r="C55" s="26">
        <v>2810798557</v>
      </c>
      <c r="D55" s="26"/>
      <c r="E55" s="1" t="s">
        <v>169</v>
      </c>
      <c r="F55" s="2" t="s">
        <v>188</v>
      </c>
      <c r="G55" s="2" t="s">
        <v>178</v>
      </c>
      <c r="H55" s="67">
        <v>1374</v>
      </c>
      <c r="I55" s="79">
        <v>30</v>
      </c>
      <c r="J55" s="14">
        <v>30</v>
      </c>
      <c r="K55" s="6">
        <v>13580</v>
      </c>
      <c r="L55" s="6">
        <v>3200</v>
      </c>
      <c r="M55" s="6">
        <v>0</v>
      </c>
      <c r="N55" s="11">
        <f t="shared" si="10"/>
        <v>16780</v>
      </c>
      <c r="O55" s="12">
        <f t="shared" si="11"/>
        <v>16780</v>
      </c>
      <c r="P55" s="26">
        <f t="shared" si="12"/>
        <v>13580</v>
      </c>
      <c r="Q55" s="26">
        <f t="shared" si="13"/>
        <v>3200</v>
      </c>
      <c r="R55" s="26">
        <f t="shared" si="14"/>
        <v>0</v>
      </c>
      <c r="S55" s="11"/>
      <c r="T55" s="13">
        <f t="shared" si="15"/>
        <v>16780</v>
      </c>
      <c r="U55" s="15">
        <f t="shared" si="16"/>
        <v>1630</v>
      </c>
      <c r="V55" s="16">
        <f>ROUNDUP(T55*0.75%,0)</f>
        <v>126</v>
      </c>
      <c r="W55" s="38"/>
      <c r="X55" s="17"/>
      <c r="Y55" s="13">
        <f t="shared" si="17"/>
        <v>1756</v>
      </c>
      <c r="Z55" s="13">
        <f t="shared" si="18"/>
        <v>15024</v>
      </c>
      <c r="AA55" s="46">
        <v>4</v>
      </c>
      <c r="AB55" s="46">
        <v>1.5</v>
      </c>
      <c r="AC55" s="41"/>
      <c r="AD55" s="41"/>
      <c r="AE55" s="14">
        <v>3</v>
      </c>
      <c r="AF55" s="14">
        <v>1</v>
      </c>
    </row>
    <row r="56" spans="1:33" ht="18" customHeight="1" x14ac:dyDescent="0.35">
      <c r="A56" s="10">
        <f t="shared" si="9"/>
        <v>49</v>
      </c>
      <c r="B56" s="26">
        <v>102281865522</v>
      </c>
      <c r="C56" s="26">
        <v>2810798561</v>
      </c>
      <c r="D56" s="26"/>
      <c r="E56" s="74" t="s">
        <v>170</v>
      </c>
      <c r="F56" s="2" t="s">
        <v>189</v>
      </c>
      <c r="G56" s="2" t="s">
        <v>179</v>
      </c>
      <c r="H56" s="67">
        <v>1378</v>
      </c>
      <c r="I56" s="79">
        <v>30</v>
      </c>
      <c r="J56" s="14">
        <v>30</v>
      </c>
      <c r="K56" s="6">
        <v>13580</v>
      </c>
      <c r="L56" s="6">
        <v>9600</v>
      </c>
      <c r="M56" s="6">
        <v>820</v>
      </c>
      <c r="N56" s="11">
        <f t="shared" si="10"/>
        <v>24000</v>
      </c>
      <c r="O56" s="12">
        <f t="shared" si="11"/>
        <v>24000</v>
      </c>
      <c r="P56" s="26">
        <f t="shared" si="12"/>
        <v>13580</v>
      </c>
      <c r="Q56" s="26">
        <f t="shared" si="13"/>
        <v>9600</v>
      </c>
      <c r="R56" s="26">
        <f t="shared" si="14"/>
        <v>820</v>
      </c>
      <c r="S56" s="11"/>
      <c r="T56" s="13">
        <f t="shared" si="15"/>
        <v>24000</v>
      </c>
      <c r="U56" s="15">
        <f t="shared" si="16"/>
        <v>1630</v>
      </c>
      <c r="V56" s="30">
        <v>0</v>
      </c>
      <c r="W56" s="37"/>
      <c r="X56" s="3"/>
      <c r="Y56" s="13">
        <f t="shared" si="17"/>
        <v>1630</v>
      </c>
      <c r="Z56" s="13">
        <f t="shared" si="18"/>
        <v>22370</v>
      </c>
      <c r="AA56" s="46">
        <v>4</v>
      </c>
      <c r="AB56" s="46">
        <v>1</v>
      </c>
      <c r="AC56" s="41"/>
      <c r="AD56" s="41"/>
      <c r="AE56" s="14">
        <v>3</v>
      </c>
      <c r="AF56" s="14">
        <v>0.5</v>
      </c>
    </row>
    <row r="57" spans="1:33" ht="18" customHeight="1" x14ac:dyDescent="0.35">
      <c r="A57" s="10">
        <f t="shared" si="9"/>
        <v>50</v>
      </c>
      <c r="B57" s="26">
        <v>100949382965</v>
      </c>
      <c r="C57" s="26" t="s">
        <v>47</v>
      </c>
      <c r="D57" s="26"/>
      <c r="E57" s="74" t="s">
        <v>168</v>
      </c>
      <c r="F57" s="2" t="s">
        <v>187</v>
      </c>
      <c r="G57" s="2" t="s">
        <v>177</v>
      </c>
      <c r="H57" s="67">
        <v>1380</v>
      </c>
      <c r="I57" s="79">
        <v>30</v>
      </c>
      <c r="J57" s="14">
        <v>30</v>
      </c>
      <c r="K57" s="6">
        <v>13580</v>
      </c>
      <c r="L57" s="6">
        <v>10650</v>
      </c>
      <c r="M57" s="6">
        <v>2396</v>
      </c>
      <c r="N57" s="11">
        <f t="shared" si="10"/>
        <v>26626</v>
      </c>
      <c r="O57" s="12">
        <f t="shared" si="11"/>
        <v>26626</v>
      </c>
      <c r="P57" s="26">
        <f t="shared" si="12"/>
        <v>13580</v>
      </c>
      <c r="Q57" s="26">
        <f t="shared" si="13"/>
        <v>10650</v>
      </c>
      <c r="R57" s="26">
        <f t="shared" si="14"/>
        <v>2396</v>
      </c>
      <c r="S57" s="11"/>
      <c r="T57" s="13">
        <f t="shared" si="15"/>
        <v>26626</v>
      </c>
      <c r="U57" s="15">
        <f t="shared" si="16"/>
        <v>1630</v>
      </c>
      <c r="V57" s="30">
        <v>0</v>
      </c>
      <c r="W57" s="38"/>
      <c r="X57" s="17"/>
      <c r="Y57" s="13">
        <f t="shared" si="17"/>
        <v>1630</v>
      </c>
      <c r="Z57" s="13">
        <f t="shared" si="18"/>
        <v>24996</v>
      </c>
      <c r="AA57" s="46">
        <v>5</v>
      </c>
      <c r="AB57" s="46">
        <v>2</v>
      </c>
      <c r="AC57" s="41"/>
      <c r="AD57" s="41"/>
      <c r="AE57" s="14">
        <v>4</v>
      </c>
      <c r="AF57" s="14">
        <v>1.5</v>
      </c>
    </row>
    <row r="58" spans="1:33" ht="18" customHeight="1" x14ac:dyDescent="0.35">
      <c r="A58" s="10">
        <f t="shared" si="9"/>
        <v>51</v>
      </c>
      <c r="B58" s="26">
        <v>102287037470</v>
      </c>
      <c r="C58" s="26">
        <v>2810804552</v>
      </c>
      <c r="D58" s="32" t="s">
        <v>175</v>
      </c>
      <c r="E58" s="1" t="s">
        <v>198</v>
      </c>
      <c r="F58" s="2" t="s">
        <v>192</v>
      </c>
      <c r="G58" s="2" t="s">
        <v>182</v>
      </c>
      <c r="H58" s="67">
        <v>1391</v>
      </c>
      <c r="I58" s="75">
        <v>28</v>
      </c>
      <c r="J58" s="14">
        <v>29.5</v>
      </c>
      <c r="K58" s="6">
        <v>13580</v>
      </c>
      <c r="L58" s="6">
        <v>6420</v>
      </c>
      <c r="M58" s="6">
        <v>0</v>
      </c>
      <c r="N58" s="11">
        <f t="shared" si="10"/>
        <v>20000</v>
      </c>
      <c r="O58" s="12">
        <f t="shared" si="11"/>
        <v>20000</v>
      </c>
      <c r="P58" s="26">
        <f t="shared" si="12"/>
        <v>13354</v>
      </c>
      <c r="Q58" s="26">
        <f t="shared" si="13"/>
        <v>6313</v>
      </c>
      <c r="R58" s="26">
        <f t="shared" si="14"/>
        <v>0</v>
      </c>
      <c r="S58" s="11"/>
      <c r="T58" s="13">
        <f t="shared" si="15"/>
        <v>19667</v>
      </c>
      <c r="U58" s="15">
        <f t="shared" si="16"/>
        <v>1602</v>
      </c>
      <c r="V58" s="16">
        <f t="shared" ref="V58:V68" si="19">ROUNDUP(T58*0.75%,0)</f>
        <v>148</v>
      </c>
      <c r="W58" s="38"/>
      <c r="X58" s="17"/>
      <c r="Y58" s="13">
        <f t="shared" si="17"/>
        <v>1750</v>
      </c>
      <c r="Z58" s="13">
        <f t="shared" si="18"/>
        <v>17917</v>
      </c>
      <c r="AA58" s="46">
        <v>0</v>
      </c>
      <c r="AB58" s="46">
        <v>0</v>
      </c>
      <c r="AC58" s="41"/>
      <c r="AD58" s="41"/>
      <c r="AE58" s="14">
        <v>0</v>
      </c>
      <c r="AF58" s="14">
        <v>0</v>
      </c>
    </row>
    <row r="59" spans="1:33" ht="18" customHeight="1" x14ac:dyDescent="0.35">
      <c r="A59" s="10">
        <f t="shared" si="9"/>
        <v>52</v>
      </c>
      <c r="B59" s="26">
        <v>102279262466</v>
      </c>
      <c r="C59" s="26">
        <v>2810804277</v>
      </c>
      <c r="D59" s="26"/>
      <c r="E59" s="1" t="s">
        <v>61</v>
      </c>
      <c r="F59" s="2" t="s">
        <v>193</v>
      </c>
      <c r="G59" s="2" t="s">
        <v>183</v>
      </c>
      <c r="H59" s="67">
        <v>1419</v>
      </c>
      <c r="I59" s="79">
        <v>29.5</v>
      </c>
      <c r="J59" s="14">
        <v>30</v>
      </c>
      <c r="K59" s="6">
        <v>13580</v>
      </c>
      <c r="L59" s="6">
        <v>6420</v>
      </c>
      <c r="M59" s="6">
        <v>0</v>
      </c>
      <c r="N59" s="11">
        <f t="shared" si="10"/>
        <v>20000</v>
      </c>
      <c r="O59" s="12">
        <f t="shared" si="11"/>
        <v>20000</v>
      </c>
      <c r="P59" s="26">
        <f t="shared" si="12"/>
        <v>13580</v>
      </c>
      <c r="Q59" s="26">
        <f t="shared" si="13"/>
        <v>6420</v>
      </c>
      <c r="R59" s="26">
        <f t="shared" si="14"/>
        <v>0</v>
      </c>
      <c r="S59" s="11"/>
      <c r="T59" s="13">
        <f t="shared" si="15"/>
        <v>20000</v>
      </c>
      <c r="U59" s="15">
        <f t="shared" si="16"/>
        <v>1630</v>
      </c>
      <c r="V59" s="16">
        <f t="shared" si="19"/>
        <v>150</v>
      </c>
      <c r="W59" s="37"/>
      <c r="X59" s="3"/>
      <c r="Y59" s="13">
        <f t="shared" si="17"/>
        <v>1780</v>
      </c>
      <c r="Z59" s="13">
        <f t="shared" si="18"/>
        <v>18220</v>
      </c>
      <c r="AA59" s="46">
        <v>4</v>
      </c>
      <c r="AB59" s="46">
        <v>0.5</v>
      </c>
      <c r="AC59" s="41"/>
      <c r="AD59" s="41"/>
      <c r="AE59" s="14">
        <v>3</v>
      </c>
      <c r="AF59" s="14">
        <v>1.5</v>
      </c>
    </row>
    <row r="60" spans="1:33" ht="18" customHeight="1" x14ac:dyDescent="0.35">
      <c r="A60" s="10">
        <f t="shared" si="9"/>
        <v>53</v>
      </c>
      <c r="B60" s="26">
        <v>101128801332</v>
      </c>
      <c r="C60" s="26">
        <v>2810804527</v>
      </c>
      <c r="D60" s="26"/>
      <c r="E60" s="1" t="s">
        <v>197</v>
      </c>
      <c r="F60" s="2" t="s">
        <v>195</v>
      </c>
      <c r="G60" s="2" t="s">
        <v>185</v>
      </c>
      <c r="H60" s="67">
        <v>1420</v>
      </c>
      <c r="I60" s="79">
        <v>29.5</v>
      </c>
      <c r="J60" s="14">
        <v>30</v>
      </c>
      <c r="K60" s="6">
        <v>13580</v>
      </c>
      <c r="L60" s="6">
        <v>1420</v>
      </c>
      <c r="M60" s="6">
        <v>0</v>
      </c>
      <c r="N60" s="11">
        <f t="shared" si="10"/>
        <v>15000</v>
      </c>
      <c r="O60" s="12">
        <f t="shared" si="11"/>
        <v>15000</v>
      </c>
      <c r="P60" s="26">
        <f t="shared" si="12"/>
        <v>13580</v>
      </c>
      <c r="Q60" s="26">
        <f t="shared" si="13"/>
        <v>1420</v>
      </c>
      <c r="R60" s="26">
        <f t="shared" si="14"/>
        <v>0</v>
      </c>
      <c r="S60" s="11"/>
      <c r="T60" s="13">
        <f t="shared" si="15"/>
        <v>15000</v>
      </c>
      <c r="U60" s="15">
        <f t="shared" si="16"/>
        <v>1630</v>
      </c>
      <c r="V60" s="16">
        <f t="shared" si="19"/>
        <v>113</v>
      </c>
      <c r="W60" s="37"/>
      <c r="X60" s="3"/>
      <c r="Y60" s="13">
        <f t="shared" si="17"/>
        <v>1743</v>
      </c>
      <c r="Z60" s="13">
        <f t="shared" si="18"/>
        <v>13257</v>
      </c>
      <c r="AA60" s="46">
        <v>3</v>
      </c>
      <c r="AB60" s="46">
        <v>0.5</v>
      </c>
      <c r="AC60" s="41"/>
      <c r="AD60" s="41"/>
      <c r="AE60" s="14">
        <v>2</v>
      </c>
      <c r="AF60" s="14">
        <v>0.5</v>
      </c>
      <c r="AG60" s="36"/>
    </row>
    <row r="61" spans="1:33" ht="18" customHeight="1" x14ac:dyDescent="0.35">
      <c r="A61" s="10">
        <f t="shared" si="9"/>
        <v>54</v>
      </c>
      <c r="B61" s="26">
        <v>102009781729</v>
      </c>
      <c r="C61" s="26">
        <v>2810804565</v>
      </c>
      <c r="D61" s="26"/>
      <c r="E61" s="1" t="s">
        <v>173</v>
      </c>
      <c r="F61" s="2" t="s">
        <v>194</v>
      </c>
      <c r="G61" s="2" t="s">
        <v>184</v>
      </c>
      <c r="H61" s="67">
        <v>1421</v>
      </c>
      <c r="I61" s="79">
        <v>20.5</v>
      </c>
      <c r="J61" s="14">
        <v>25.5</v>
      </c>
      <c r="K61" s="6">
        <v>13580</v>
      </c>
      <c r="L61" s="6">
        <v>1420</v>
      </c>
      <c r="M61" s="6">
        <v>0</v>
      </c>
      <c r="N61" s="11">
        <f t="shared" si="10"/>
        <v>15000</v>
      </c>
      <c r="O61" s="12">
        <f t="shared" si="11"/>
        <v>15000</v>
      </c>
      <c r="P61" s="26">
        <f t="shared" si="12"/>
        <v>11543</v>
      </c>
      <c r="Q61" s="26">
        <f t="shared" si="13"/>
        <v>1207</v>
      </c>
      <c r="R61" s="26">
        <f t="shared" si="14"/>
        <v>0</v>
      </c>
      <c r="S61" s="11"/>
      <c r="T61" s="13">
        <f t="shared" si="15"/>
        <v>12750</v>
      </c>
      <c r="U61" s="15">
        <f t="shared" si="16"/>
        <v>1385</v>
      </c>
      <c r="V61" s="16">
        <f t="shared" si="19"/>
        <v>96</v>
      </c>
      <c r="W61" s="37"/>
      <c r="X61" s="3"/>
      <c r="Y61" s="13">
        <f t="shared" si="17"/>
        <v>1481</v>
      </c>
      <c r="Z61" s="13">
        <f t="shared" si="18"/>
        <v>11269</v>
      </c>
      <c r="AA61" s="46">
        <v>0</v>
      </c>
      <c r="AB61" s="46">
        <v>0</v>
      </c>
      <c r="AC61" s="41"/>
      <c r="AD61" s="41"/>
      <c r="AE61" s="14">
        <v>3</v>
      </c>
      <c r="AF61" s="14">
        <v>0.5</v>
      </c>
    </row>
    <row r="62" spans="1:33" ht="18" customHeight="1" x14ac:dyDescent="0.35">
      <c r="A62" s="10">
        <f t="shared" si="9"/>
        <v>55</v>
      </c>
      <c r="B62" s="26">
        <v>102288356492</v>
      </c>
      <c r="C62" s="26">
        <v>2810807390</v>
      </c>
      <c r="D62" s="26" t="s">
        <v>175</v>
      </c>
      <c r="E62" s="1" t="s">
        <v>199</v>
      </c>
      <c r="F62" s="2" t="s">
        <v>203</v>
      </c>
      <c r="G62" s="2" t="s">
        <v>208</v>
      </c>
      <c r="H62" s="67">
        <v>1459</v>
      </c>
      <c r="I62" s="75">
        <v>28</v>
      </c>
      <c r="J62" s="14">
        <v>30</v>
      </c>
      <c r="K62" s="6">
        <v>13580</v>
      </c>
      <c r="L62" s="6">
        <v>6420</v>
      </c>
      <c r="M62" s="6">
        <v>0</v>
      </c>
      <c r="N62" s="11">
        <f t="shared" si="10"/>
        <v>20000</v>
      </c>
      <c r="O62" s="12">
        <f t="shared" si="11"/>
        <v>20000</v>
      </c>
      <c r="P62" s="26">
        <f t="shared" si="12"/>
        <v>13580</v>
      </c>
      <c r="Q62" s="26">
        <f t="shared" si="13"/>
        <v>6420</v>
      </c>
      <c r="R62" s="26">
        <f t="shared" si="14"/>
        <v>0</v>
      </c>
      <c r="S62" s="11"/>
      <c r="T62" s="13">
        <f t="shared" si="15"/>
        <v>20000</v>
      </c>
      <c r="U62" s="15">
        <f t="shared" si="16"/>
        <v>1630</v>
      </c>
      <c r="V62" s="16">
        <f t="shared" si="19"/>
        <v>150</v>
      </c>
      <c r="W62" s="37"/>
      <c r="X62" s="3"/>
      <c r="Y62" s="13">
        <f t="shared" si="17"/>
        <v>1780</v>
      </c>
      <c r="Z62" s="13">
        <f t="shared" si="18"/>
        <v>18220</v>
      </c>
      <c r="AA62" s="46">
        <v>2</v>
      </c>
      <c r="AB62" s="46">
        <v>0</v>
      </c>
      <c r="AC62" s="41"/>
      <c r="AD62" s="41"/>
      <c r="AE62" s="14">
        <v>1</v>
      </c>
      <c r="AF62" s="14">
        <v>1.5</v>
      </c>
    </row>
    <row r="63" spans="1:33" ht="18" customHeight="1" x14ac:dyDescent="0.35">
      <c r="A63" s="10">
        <f t="shared" si="9"/>
        <v>56</v>
      </c>
      <c r="B63" s="26">
        <v>102260775868</v>
      </c>
      <c r="C63" s="26">
        <v>2810807398</v>
      </c>
      <c r="D63" s="26"/>
      <c r="E63" s="1" t="s">
        <v>202</v>
      </c>
      <c r="F63" s="2" t="s">
        <v>207</v>
      </c>
      <c r="G63" s="2" t="s">
        <v>212</v>
      </c>
      <c r="H63" s="67">
        <v>1460</v>
      </c>
      <c r="I63" s="79">
        <v>29</v>
      </c>
      <c r="J63" s="14">
        <v>30</v>
      </c>
      <c r="K63" s="6">
        <v>13580</v>
      </c>
      <c r="L63" s="6">
        <v>6420</v>
      </c>
      <c r="M63" s="6">
        <v>0</v>
      </c>
      <c r="N63" s="11">
        <f t="shared" si="10"/>
        <v>20000</v>
      </c>
      <c r="O63" s="12">
        <f t="shared" si="11"/>
        <v>20000</v>
      </c>
      <c r="P63" s="26">
        <f t="shared" si="12"/>
        <v>13580</v>
      </c>
      <c r="Q63" s="26">
        <f t="shared" si="13"/>
        <v>6420</v>
      </c>
      <c r="R63" s="26">
        <f t="shared" si="14"/>
        <v>0</v>
      </c>
      <c r="S63" s="11"/>
      <c r="T63" s="13">
        <f t="shared" si="15"/>
        <v>20000</v>
      </c>
      <c r="U63" s="15">
        <f t="shared" si="16"/>
        <v>1630</v>
      </c>
      <c r="V63" s="16">
        <f t="shared" si="19"/>
        <v>150</v>
      </c>
      <c r="W63" s="37"/>
      <c r="X63" s="3"/>
      <c r="Y63" s="13">
        <f t="shared" si="17"/>
        <v>1780</v>
      </c>
      <c r="Z63" s="13">
        <f t="shared" si="18"/>
        <v>18220</v>
      </c>
      <c r="AA63" s="46">
        <v>4</v>
      </c>
      <c r="AB63" s="46">
        <v>0</v>
      </c>
      <c r="AC63" s="41"/>
      <c r="AD63" s="41"/>
      <c r="AE63" s="14">
        <v>3</v>
      </c>
      <c r="AF63" s="14">
        <v>0.5</v>
      </c>
    </row>
    <row r="64" spans="1:33" ht="18" customHeight="1" x14ac:dyDescent="0.35">
      <c r="A64" s="10">
        <f t="shared" si="9"/>
        <v>57</v>
      </c>
      <c r="B64" s="26">
        <v>102294539912</v>
      </c>
      <c r="C64" s="26">
        <v>2810807397</v>
      </c>
      <c r="D64" s="26"/>
      <c r="E64" s="1" t="s">
        <v>117</v>
      </c>
      <c r="F64" s="2" t="s">
        <v>206</v>
      </c>
      <c r="G64" s="2" t="s">
        <v>211</v>
      </c>
      <c r="H64" s="67">
        <v>1465</v>
      </c>
      <c r="I64" s="79">
        <v>28</v>
      </c>
      <c r="J64" s="14">
        <v>30</v>
      </c>
      <c r="K64" s="6">
        <v>13580</v>
      </c>
      <c r="L64" s="6">
        <v>1420</v>
      </c>
      <c r="M64" s="6">
        <v>0</v>
      </c>
      <c r="N64" s="11">
        <f t="shared" si="10"/>
        <v>15000</v>
      </c>
      <c r="O64" s="12">
        <f t="shared" si="11"/>
        <v>15000</v>
      </c>
      <c r="P64" s="26">
        <f t="shared" si="12"/>
        <v>13580</v>
      </c>
      <c r="Q64" s="26">
        <f t="shared" si="13"/>
        <v>1420</v>
      </c>
      <c r="R64" s="26">
        <f t="shared" si="14"/>
        <v>0</v>
      </c>
      <c r="S64" s="11"/>
      <c r="T64" s="13">
        <f t="shared" si="15"/>
        <v>15000</v>
      </c>
      <c r="U64" s="15">
        <f t="shared" si="16"/>
        <v>1630</v>
      </c>
      <c r="V64" s="16">
        <f t="shared" si="19"/>
        <v>113</v>
      </c>
      <c r="W64" s="37"/>
      <c r="X64" s="3"/>
      <c r="Y64" s="13">
        <f t="shared" si="17"/>
        <v>1743</v>
      </c>
      <c r="Z64" s="13">
        <f t="shared" si="18"/>
        <v>13257</v>
      </c>
      <c r="AA64" s="46">
        <v>2</v>
      </c>
      <c r="AB64" s="46">
        <v>0.5</v>
      </c>
      <c r="AC64" s="41"/>
      <c r="AD64" s="41"/>
      <c r="AE64" s="14">
        <v>3</v>
      </c>
      <c r="AF64" s="14">
        <v>0</v>
      </c>
    </row>
    <row r="65" spans="1:34" ht="18" customHeight="1" x14ac:dyDescent="0.35">
      <c r="A65" s="10">
        <f t="shared" si="9"/>
        <v>58</v>
      </c>
      <c r="B65" s="26">
        <v>102294539688</v>
      </c>
      <c r="C65" s="26">
        <v>2810807395</v>
      </c>
      <c r="D65" s="26"/>
      <c r="E65" s="1" t="s">
        <v>201</v>
      </c>
      <c r="F65" s="2" t="s">
        <v>205</v>
      </c>
      <c r="G65" s="2" t="s">
        <v>210</v>
      </c>
      <c r="H65" s="67">
        <v>1466</v>
      </c>
      <c r="I65" s="79">
        <v>27.5</v>
      </c>
      <c r="J65" s="14">
        <v>30</v>
      </c>
      <c r="K65" s="6">
        <v>13580</v>
      </c>
      <c r="L65" s="6">
        <v>3172</v>
      </c>
      <c r="M65" s="6">
        <v>0</v>
      </c>
      <c r="N65" s="11">
        <f t="shared" si="10"/>
        <v>16752</v>
      </c>
      <c r="O65" s="12">
        <f t="shared" si="11"/>
        <v>16752</v>
      </c>
      <c r="P65" s="26">
        <f t="shared" si="12"/>
        <v>13580</v>
      </c>
      <c r="Q65" s="26">
        <f t="shared" si="13"/>
        <v>3172</v>
      </c>
      <c r="R65" s="26">
        <f t="shared" si="14"/>
        <v>0</v>
      </c>
      <c r="S65" s="11"/>
      <c r="T65" s="13">
        <f t="shared" si="15"/>
        <v>16752</v>
      </c>
      <c r="U65" s="15">
        <f t="shared" si="16"/>
        <v>1630</v>
      </c>
      <c r="V65" s="16">
        <f t="shared" si="19"/>
        <v>126</v>
      </c>
      <c r="W65" s="37"/>
      <c r="X65" s="3"/>
      <c r="Y65" s="13">
        <f t="shared" si="17"/>
        <v>1756</v>
      </c>
      <c r="Z65" s="13">
        <f t="shared" si="18"/>
        <v>14996</v>
      </c>
      <c r="AA65" s="46">
        <v>1.5</v>
      </c>
      <c r="AB65" s="46">
        <v>0</v>
      </c>
      <c r="AC65" s="41"/>
      <c r="AD65" s="41"/>
      <c r="AE65" s="14">
        <v>2</v>
      </c>
      <c r="AF65" s="14">
        <v>0.5</v>
      </c>
    </row>
    <row r="66" spans="1:34" ht="18" customHeight="1" x14ac:dyDescent="0.35">
      <c r="A66" s="10">
        <f t="shared" si="9"/>
        <v>59</v>
      </c>
      <c r="B66" s="26">
        <v>101683306980</v>
      </c>
      <c r="C66" s="26">
        <v>2810807391</v>
      </c>
      <c r="D66" s="26"/>
      <c r="E66" s="1" t="s">
        <v>200</v>
      </c>
      <c r="F66" s="2" t="s">
        <v>204</v>
      </c>
      <c r="G66" s="2" t="s">
        <v>209</v>
      </c>
      <c r="H66" s="67">
        <v>1477</v>
      </c>
      <c r="I66" s="79">
        <v>29</v>
      </c>
      <c r="J66" s="14">
        <v>30</v>
      </c>
      <c r="K66" s="6">
        <v>13580</v>
      </c>
      <c r="L66" s="6">
        <v>4420</v>
      </c>
      <c r="M66" s="6">
        <v>0</v>
      </c>
      <c r="N66" s="11">
        <f t="shared" si="10"/>
        <v>18000</v>
      </c>
      <c r="O66" s="12">
        <f t="shared" si="11"/>
        <v>18000</v>
      </c>
      <c r="P66" s="26">
        <f t="shared" si="12"/>
        <v>13580</v>
      </c>
      <c r="Q66" s="26">
        <f t="shared" si="13"/>
        <v>4420</v>
      </c>
      <c r="R66" s="26">
        <f t="shared" si="14"/>
        <v>0</v>
      </c>
      <c r="S66" s="11"/>
      <c r="T66" s="13">
        <f t="shared" si="15"/>
        <v>18000</v>
      </c>
      <c r="U66" s="15">
        <f t="shared" si="16"/>
        <v>1630</v>
      </c>
      <c r="V66" s="16">
        <f t="shared" si="19"/>
        <v>135</v>
      </c>
      <c r="W66" s="37"/>
      <c r="X66" s="17"/>
      <c r="Y66" s="13">
        <f t="shared" si="17"/>
        <v>1765</v>
      </c>
      <c r="Z66" s="13">
        <f t="shared" si="18"/>
        <v>16235</v>
      </c>
      <c r="AA66" s="46">
        <v>1</v>
      </c>
      <c r="AB66" s="46">
        <v>0</v>
      </c>
      <c r="AC66" s="41"/>
      <c r="AD66" s="41"/>
      <c r="AE66" s="14">
        <v>0</v>
      </c>
      <c r="AF66" s="14">
        <v>0.5</v>
      </c>
    </row>
    <row r="67" spans="1:34" ht="18" customHeight="1" x14ac:dyDescent="0.35">
      <c r="A67" s="10">
        <f t="shared" si="9"/>
        <v>60</v>
      </c>
      <c r="B67" s="26">
        <v>102294521201</v>
      </c>
      <c r="C67" s="26">
        <v>2810808685</v>
      </c>
      <c r="D67" s="26" t="s">
        <v>175</v>
      </c>
      <c r="E67" s="1" t="s">
        <v>213</v>
      </c>
      <c r="F67" s="2" t="s">
        <v>215</v>
      </c>
      <c r="G67" s="2" t="s">
        <v>217</v>
      </c>
      <c r="H67" s="67">
        <v>1522</v>
      </c>
      <c r="I67" s="75">
        <v>25.5</v>
      </c>
      <c r="J67" s="14">
        <v>27</v>
      </c>
      <c r="K67" s="6">
        <v>13580</v>
      </c>
      <c r="L67" s="6">
        <v>6420</v>
      </c>
      <c r="M67" s="6">
        <v>0</v>
      </c>
      <c r="N67" s="11">
        <f t="shared" si="10"/>
        <v>20000</v>
      </c>
      <c r="O67" s="12">
        <f t="shared" si="11"/>
        <v>20000</v>
      </c>
      <c r="P67" s="26">
        <f t="shared" si="12"/>
        <v>12222</v>
      </c>
      <c r="Q67" s="26">
        <f t="shared" si="13"/>
        <v>5778</v>
      </c>
      <c r="R67" s="26">
        <f t="shared" si="14"/>
        <v>0</v>
      </c>
      <c r="S67" s="11"/>
      <c r="T67" s="13">
        <f t="shared" si="15"/>
        <v>18000</v>
      </c>
      <c r="U67" s="15">
        <f t="shared" si="16"/>
        <v>1467</v>
      </c>
      <c r="V67" s="16">
        <f t="shared" si="19"/>
        <v>135</v>
      </c>
      <c r="W67" s="37"/>
      <c r="X67" s="17"/>
      <c r="Y67" s="13">
        <f t="shared" si="17"/>
        <v>1602</v>
      </c>
      <c r="Z67" s="13">
        <f t="shared" si="18"/>
        <v>16398</v>
      </c>
      <c r="AA67" s="46">
        <v>0</v>
      </c>
      <c r="AB67" s="46">
        <v>0</v>
      </c>
      <c r="AC67" s="41"/>
      <c r="AD67" s="41"/>
      <c r="AE67" s="14">
        <v>0</v>
      </c>
      <c r="AF67" s="14">
        <v>0</v>
      </c>
    </row>
    <row r="68" spans="1:34" ht="18" customHeight="1" x14ac:dyDescent="0.35">
      <c r="A68" s="10">
        <f t="shared" si="9"/>
        <v>61</v>
      </c>
      <c r="B68" s="26">
        <v>102178463454</v>
      </c>
      <c r="C68" s="26">
        <v>2810810984</v>
      </c>
      <c r="D68" s="26" t="s">
        <v>175</v>
      </c>
      <c r="E68" s="1" t="s">
        <v>214</v>
      </c>
      <c r="F68" s="2" t="s">
        <v>216</v>
      </c>
      <c r="G68" s="2" t="s">
        <v>218</v>
      </c>
      <c r="H68" s="67">
        <v>1532</v>
      </c>
      <c r="I68" s="75">
        <v>26</v>
      </c>
      <c r="J68" s="14">
        <v>27.5</v>
      </c>
      <c r="K68" s="6">
        <v>13580</v>
      </c>
      <c r="L68" s="6">
        <v>6420</v>
      </c>
      <c r="M68" s="6">
        <v>0</v>
      </c>
      <c r="N68" s="11">
        <f t="shared" si="10"/>
        <v>20000</v>
      </c>
      <c r="O68" s="12">
        <f t="shared" si="11"/>
        <v>20000</v>
      </c>
      <c r="P68" s="26">
        <f t="shared" si="12"/>
        <v>12448</v>
      </c>
      <c r="Q68" s="26">
        <f t="shared" si="13"/>
        <v>5885</v>
      </c>
      <c r="R68" s="26">
        <f t="shared" si="14"/>
        <v>0</v>
      </c>
      <c r="S68" s="11"/>
      <c r="T68" s="13">
        <f t="shared" si="15"/>
        <v>18333</v>
      </c>
      <c r="U68" s="15">
        <f t="shared" si="16"/>
        <v>1494</v>
      </c>
      <c r="V68" s="16">
        <f t="shared" si="19"/>
        <v>138</v>
      </c>
      <c r="W68" s="37"/>
      <c r="X68" s="17"/>
      <c r="Y68" s="13">
        <f t="shared" si="17"/>
        <v>1632</v>
      </c>
      <c r="Z68" s="13">
        <f t="shared" si="18"/>
        <v>16701</v>
      </c>
      <c r="AA68" s="46">
        <v>0</v>
      </c>
      <c r="AB68" s="46">
        <v>0</v>
      </c>
      <c r="AC68" s="41"/>
      <c r="AD68" s="41"/>
      <c r="AE68" s="14">
        <v>0</v>
      </c>
      <c r="AF68" s="14">
        <v>0</v>
      </c>
    </row>
    <row r="69" spans="1:34" ht="18" customHeight="1" x14ac:dyDescent="0.35">
      <c r="A69" s="10">
        <f t="shared" si="9"/>
        <v>62</v>
      </c>
      <c r="B69" s="26">
        <v>102219549756</v>
      </c>
      <c r="C69" s="26" t="s">
        <v>47</v>
      </c>
      <c r="D69" s="26" t="s">
        <v>175</v>
      </c>
      <c r="E69" s="50" t="s">
        <v>221</v>
      </c>
      <c r="F69" s="2" t="s">
        <v>228</v>
      </c>
      <c r="G69" s="2" t="s">
        <v>235</v>
      </c>
      <c r="H69" s="69">
        <v>1543</v>
      </c>
      <c r="I69" s="76">
        <v>7.5</v>
      </c>
      <c r="J69" s="52">
        <v>7.5</v>
      </c>
      <c r="K69" s="6">
        <v>13580</v>
      </c>
      <c r="L69" s="6">
        <v>9200</v>
      </c>
      <c r="M69" s="6">
        <v>220</v>
      </c>
      <c r="N69" s="11">
        <f t="shared" si="10"/>
        <v>23000</v>
      </c>
      <c r="O69" s="12">
        <f t="shared" si="11"/>
        <v>23000</v>
      </c>
      <c r="P69" s="26">
        <f t="shared" si="12"/>
        <v>3395</v>
      </c>
      <c r="Q69" s="26">
        <f t="shared" si="13"/>
        <v>2300</v>
      </c>
      <c r="R69" s="26">
        <f t="shared" si="14"/>
        <v>55</v>
      </c>
      <c r="S69" s="11"/>
      <c r="T69" s="13">
        <f t="shared" si="15"/>
        <v>5750</v>
      </c>
      <c r="U69" s="15">
        <f t="shared" si="16"/>
        <v>407</v>
      </c>
      <c r="V69" s="30">
        <v>0</v>
      </c>
      <c r="W69" s="38"/>
      <c r="X69" s="17"/>
      <c r="Y69" s="13">
        <f t="shared" si="17"/>
        <v>407</v>
      </c>
      <c r="Z69" s="13">
        <f t="shared" si="18"/>
        <v>5343</v>
      </c>
      <c r="AA69" s="52">
        <v>0</v>
      </c>
      <c r="AB69" s="52">
        <v>0</v>
      </c>
      <c r="AC69" s="77"/>
      <c r="AD69" s="77"/>
      <c r="AE69" s="52">
        <v>0</v>
      </c>
      <c r="AF69" s="52">
        <v>0</v>
      </c>
      <c r="AH69" t="s">
        <v>293</v>
      </c>
    </row>
    <row r="70" spans="1:34" ht="18" customHeight="1" x14ac:dyDescent="0.35">
      <c r="A70" s="10">
        <f t="shared" si="9"/>
        <v>63</v>
      </c>
      <c r="B70" s="26">
        <v>102041043937</v>
      </c>
      <c r="C70" s="26" t="s">
        <v>47</v>
      </c>
      <c r="D70" s="26" t="s">
        <v>175</v>
      </c>
      <c r="E70" s="1" t="s">
        <v>222</v>
      </c>
      <c r="F70" s="2" t="s">
        <v>229</v>
      </c>
      <c r="G70" s="2" t="s">
        <v>236</v>
      </c>
      <c r="H70" s="67">
        <v>1557</v>
      </c>
      <c r="I70" s="75">
        <v>30</v>
      </c>
      <c r="J70" s="14">
        <v>30</v>
      </c>
      <c r="K70" s="6">
        <v>13580</v>
      </c>
      <c r="L70" s="6">
        <v>8420</v>
      </c>
      <c r="M70" s="6">
        <v>0</v>
      </c>
      <c r="N70" s="11">
        <f t="shared" si="10"/>
        <v>22000</v>
      </c>
      <c r="O70" s="12">
        <f t="shared" si="11"/>
        <v>22000</v>
      </c>
      <c r="P70" s="26">
        <f t="shared" si="12"/>
        <v>13580</v>
      </c>
      <c r="Q70" s="26">
        <f t="shared" si="13"/>
        <v>8420</v>
      </c>
      <c r="R70" s="26">
        <f t="shared" si="14"/>
        <v>0</v>
      </c>
      <c r="S70" s="11"/>
      <c r="T70" s="13">
        <f t="shared" si="15"/>
        <v>22000</v>
      </c>
      <c r="U70" s="15">
        <f t="shared" si="16"/>
        <v>1630</v>
      </c>
      <c r="V70" s="30">
        <v>0</v>
      </c>
      <c r="W70" s="38"/>
      <c r="X70" s="17"/>
      <c r="Y70" s="13">
        <f t="shared" si="17"/>
        <v>1630</v>
      </c>
      <c r="Z70" s="13">
        <f t="shared" si="18"/>
        <v>20370</v>
      </c>
      <c r="AA70" s="46">
        <v>2</v>
      </c>
      <c r="AB70" s="46">
        <v>1.5</v>
      </c>
      <c r="AC70" s="41"/>
      <c r="AD70" s="41"/>
      <c r="AE70" s="14">
        <v>1</v>
      </c>
      <c r="AF70" s="14">
        <v>1</v>
      </c>
    </row>
    <row r="71" spans="1:34" ht="18" customHeight="1" x14ac:dyDescent="0.35">
      <c r="A71" s="10">
        <f t="shared" si="9"/>
        <v>64</v>
      </c>
      <c r="B71" s="26">
        <v>102308756345</v>
      </c>
      <c r="C71" s="26">
        <v>2810814430</v>
      </c>
      <c r="D71" s="26"/>
      <c r="E71" s="1" t="s">
        <v>223</v>
      </c>
      <c r="F71" s="2" t="s">
        <v>230</v>
      </c>
      <c r="G71" s="2" t="s">
        <v>237</v>
      </c>
      <c r="H71" s="67">
        <v>1596</v>
      </c>
      <c r="I71" s="79">
        <v>29.5</v>
      </c>
      <c r="J71" s="14">
        <v>30</v>
      </c>
      <c r="K71" s="6">
        <v>13580</v>
      </c>
      <c r="L71" s="6">
        <v>3176</v>
      </c>
      <c r="M71" s="6">
        <v>0</v>
      </c>
      <c r="N71" s="11">
        <f t="shared" si="10"/>
        <v>16756</v>
      </c>
      <c r="O71" s="12">
        <f t="shared" si="11"/>
        <v>16756</v>
      </c>
      <c r="P71" s="26">
        <f t="shared" si="12"/>
        <v>13580</v>
      </c>
      <c r="Q71" s="26">
        <f t="shared" si="13"/>
        <v>3176</v>
      </c>
      <c r="R71" s="26">
        <f t="shared" si="14"/>
        <v>0</v>
      </c>
      <c r="S71" s="11"/>
      <c r="T71" s="13">
        <f t="shared" si="15"/>
        <v>16756</v>
      </c>
      <c r="U71" s="15">
        <f t="shared" si="16"/>
        <v>1630</v>
      </c>
      <c r="V71" s="16">
        <f t="shared" ref="V71:V76" si="20">ROUNDUP(T71*0.75%,0)</f>
        <v>126</v>
      </c>
      <c r="W71" s="38"/>
      <c r="X71" s="17"/>
      <c r="Y71" s="13">
        <f t="shared" si="17"/>
        <v>1756</v>
      </c>
      <c r="Z71" s="13">
        <f t="shared" si="18"/>
        <v>15000</v>
      </c>
      <c r="AA71" s="46">
        <v>3</v>
      </c>
      <c r="AB71" s="46">
        <v>1</v>
      </c>
      <c r="AC71" s="41"/>
      <c r="AD71" s="41"/>
      <c r="AE71" s="14">
        <v>2</v>
      </c>
      <c r="AF71" s="14">
        <v>1</v>
      </c>
    </row>
    <row r="72" spans="1:34" ht="18" customHeight="1" x14ac:dyDescent="0.35">
      <c r="A72" s="10">
        <f t="shared" si="9"/>
        <v>65</v>
      </c>
      <c r="B72" s="26">
        <v>102226418692</v>
      </c>
      <c r="C72" s="26">
        <v>2810814434</v>
      </c>
      <c r="D72" s="26"/>
      <c r="E72" s="1" t="s">
        <v>225</v>
      </c>
      <c r="F72" s="2" t="s">
        <v>232</v>
      </c>
      <c r="G72" s="2" t="s">
        <v>239</v>
      </c>
      <c r="H72" s="67">
        <v>1599</v>
      </c>
      <c r="I72" s="79">
        <v>29</v>
      </c>
      <c r="J72" s="14">
        <v>30</v>
      </c>
      <c r="K72" s="6">
        <v>13580</v>
      </c>
      <c r="L72" s="6">
        <v>4420</v>
      </c>
      <c r="M72" s="6">
        <v>0</v>
      </c>
      <c r="N72" s="11">
        <f t="shared" ref="N72:N91" si="21">K72+L72+M72</f>
        <v>18000</v>
      </c>
      <c r="O72" s="12">
        <f t="shared" ref="O72:O91" si="22">N72</f>
        <v>18000</v>
      </c>
      <c r="P72" s="26">
        <f t="shared" ref="P72:P91" si="23">ROUND(K72/$AD$3*J72,0)</f>
        <v>13580</v>
      </c>
      <c r="Q72" s="26">
        <f t="shared" ref="Q72:Q91" si="24">ROUND(L72/$AD$3*J72,0)</f>
        <v>4420</v>
      </c>
      <c r="R72" s="26">
        <f t="shared" ref="R72:R91" si="25">ROUND(M72/$AD$3*J72,0)</f>
        <v>0</v>
      </c>
      <c r="S72" s="11"/>
      <c r="T72" s="13">
        <f t="shared" ref="T72:T91" si="26">P72+Q72+R72</f>
        <v>18000</v>
      </c>
      <c r="U72" s="15">
        <f t="shared" ref="U72:U91" si="27">ROUND(IF(K72&gt;15000,(15000/$AD$3*J72)*12%,P72*12%)*1,0)</f>
        <v>1630</v>
      </c>
      <c r="V72" s="16">
        <f t="shared" si="20"/>
        <v>135</v>
      </c>
      <c r="W72" s="38"/>
      <c r="X72" s="17"/>
      <c r="Y72" s="13">
        <f t="shared" ref="Y72:Y91" si="28">U72+V72+W72+X72</f>
        <v>1765</v>
      </c>
      <c r="Z72" s="13">
        <f t="shared" ref="Z72:Z91" si="29">T72-Y72</f>
        <v>16235</v>
      </c>
      <c r="AA72" s="46">
        <v>2</v>
      </c>
      <c r="AB72" s="46">
        <v>0.5</v>
      </c>
      <c r="AC72" s="41"/>
      <c r="AD72" s="41"/>
      <c r="AE72" s="14">
        <v>1</v>
      </c>
      <c r="AF72" s="14">
        <v>1</v>
      </c>
    </row>
    <row r="73" spans="1:34" ht="18" customHeight="1" x14ac:dyDescent="0.35">
      <c r="A73" s="10">
        <f t="shared" si="9"/>
        <v>66</v>
      </c>
      <c r="B73" s="26">
        <v>101640709342</v>
      </c>
      <c r="C73" s="26">
        <v>2810814435</v>
      </c>
      <c r="D73" s="26"/>
      <c r="E73" s="1" t="s">
        <v>226</v>
      </c>
      <c r="F73" s="2" t="s">
        <v>233</v>
      </c>
      <c r="G73" s="2" t="s">
        <v>240</v>
      </c>
      <c r="H73" s="67">
        <v>1602</v>
      </c>
      <c r="I73" s="79">
        <v>30</v>
      </c>
      <c r="J73" s="14">
        <v>30</v>
      </c>
      <c r="K73" s="6">
        <v>13580</v>
      </c>
      <c r="L73" s="6">
        <v>4420</v>
      </c>
      <c r="M73" s="6">
        <v>0</v>
      </c>
      <c r="N73" s="11">
        <f t="shared" si="21"/>
        <v>18000</v>
      </c>
      <c r="O73" s="12">
        <f t="shared" si="22"/>
        <v>18000</v>
      </c>
      <c r="P73" s="26">
        <f t="shared" si="23"/>
        <v>13580</v>
      </c>
      <c r="Q73" s="26">
        <f t="shared" si="24"/>
        <v>4420</v>
      </c>
      <c r="R73" s="26">
        <f t="shared" si="25"/>
        <v>0</v>
      </c>
      <c r="S73" s="11"/>
      <c r="T73" s="13">
        <f t="shared" si="26"/>
        <v>18000</v>
      </c>
      <c r="U73" s="15">
        <f t="shared" si="27"/>
        <v>1630</v>
      </c>
      <c r="V73" s="16">
        <f t="shared" si="20"/>
        <v>135</v>
      </c>
      <c r="W73" s="38"/>
      <c r="X73" s="17"/>
      <c r="Y73" s="13">
        <f t="shared" si="28"/>
        <v>1765</v>
      </c>
      <c r="Z73" s="13">
        <f t="shared" si="29"/>
        <v>16235</v>
      </c>
      <c r="AA73" s="46">
        <v>3</v>
      </c>
      <c r="AB73" s="46">
        <v>1.5</v>
      </c>
      <c r="AC73" s="41"/>
      <c r="AD73" s="41"/>
      <c r="AE73" s="14">
        <v>2</v>
      </c>
      <c r="AF73" s="14">
        <v>1</v>
      </c>
    </row>
    <row r="74" spans="1:34" ht="18" customHeight="1" x14ac:dyDescent="0.35">
      <c r="A74" s="10">
        <f t="shared" ref="A74:A91" si="30">A73+1</f>
        <v>67</v>
      </c>
      <c r="B74" s="26">
        <v>102309583919</v>
      </c>
      <c r="C74" s="26">
        <v>2810814436</v>
      </c>
      <c r="D74" s="26"/>
      <c r="E74" s="1" t="s">
        <v>227</v>
      </c>
      <c r="F74" s="2" t="s">
        <v>234</v>
      </c>
      <c r="G74" s="2" t="s">
        <v>241</v>
      </c>
      <c r="H74" s="67">
        <v>1603</v>
      </c>
      <c r="I74" s="79">
        <v>28</v>
      </c>
      <c r="J74" s="14">
        <v>30</v>
      </c>
      <c r="K74" s="6">
        <v>13580</v>
      </c>
      <c r="L74" s="6">
        <v>1420</v>
      </c>
      <c r="M74" s="6">
        <v>0</v>
      </c>
      <c r="N74" s="11">
        <f t="shared" si="21"/>
        <v>15000</v>
      </c>
      <c r="O74" s="12">
        <f t="shared" si="22"/>
        <v>15000</v>
      </c>
      <c r="P74" s="26">
        <f t="shared" si="23"/>
        <v>13580</v>
      </c>
      <c r="Q74" s="26">
        <f t="shared" si="24"/>
        <v>1420</v>
      </c>
      <c r="R74" s="26">
        <f t="shared" si="25"/>
        <v>0</v>
      </c>
      <c r="S74" s="11"/>
      <c r="T74" s="13">
        <f t="shared" si="26"/>
        <v>15000</v>
      </c>
      <c r="U74" s="15">
        <f t="shared" si="27"/>
        <v>1630</v>
      </c>
      <c r="V74" s="16">
        <f t="shared" si="20"/>
        <v>113</v>
      </c>
      <c r="W74" s="38"/>
      <c r="X74" s="17"/>
      <c r="Y74" s="13">
        <f t="shared" si="28"/>
        <v>1743</v>
      </c>
      <c r="Z74" s="13">
        <f t="shared" si="29"/>
        <v>13257</v>
      </c>
      <c r="AA74" s="46">
        <v>1</v>
      </c>
      <c r="AB74" s="46">
        <v>0.5</v>
      </c>
      <c r="AC74" s="41"/>
      <c r="AD74" s="41"/>
      <c r="AE74" s="14">
        <v>1</v>
      </c>
      <c r="AF74" s="14">
        <v>1</v>
      </c>
    </row>
    <row r="75" spans="1:34" ht="18" customHeight="1" x14ac:dyDescent="0.35">
      <c r="A75" s="10">
        <f t="shared" si="30"/>
        <v>68</v>
      </c>
      <c r="B75" s="26">
        <v>102309380941</v>
      </c>
      <c r="C75" s="26">
        <v>2810814432</v>
      </c>
      <c r="D75" s="26"/>
      <c r="E75" s="1" t="s">
        <v>224</v>
      </c>
      <c r="F75" s="2" t="s">
        <v>231</v>
      </c>
      <c r="G75" s="2" t="s">
        <v>238</v>
      </c>
      <c r="H75" s="67">
        <v>1604</v>
      </c>
      <c r="I75" s="79">
        <v>29</v>
      </c>
      <c r="J75" s="14">
        <v>30</v>
      </c>
      <c r="K75" s="6">
        <v>13580</v>
      </c>
      <c r="L75" s="6">
        <v>1420</v>
      </c>
      <c r="M75" s="6">
        <v>0</v>
      </c>
      <c r="N75" s="11">
        <f t="shared" si="21"/>
        <v>15000</v>
      </c>
      <c r="O75" s="12">
        <f t="shared" si="22"/>
        <v>15000</v>
      </c>
      <c r="P75" s="26">
        <f t="shared" si="23"/>
        <v>13580</v>
      </c>
      <c r="Q75" s="26">
        <f t="shared" si="24"/>
        <v>1420</v>
      </c>
      <c r="R75" s="26">
        <f t="shared" si="25"/>
        <v>0</v>
      </c>
      <c r="S75" s="11"/>
      <c r="T75" s="13">
        <f t="shared" si="26"/>
        <v>15000</v>
      </c>
      <c r="U75" s="15">
        <f t="shared" si="27"/>
        <v>1630</v>
      </c>
      <c r="V75" s="16">
        <f t="shared" si="20"/>
        <v>113</v>
      </c>
      <c r="W75" s="38"/>
      <c r="X75" s="17"/>
      <c r="Y75" s="13">
        <f t="shared" si="28"/>
        <v>1743</v>
      </c>
      <c r="Z75" s="13">
        <f t="shared" si="29"/>
        <v>13257</v>
      </c>
      <c r="AA75" s="46">
        <v>2</v>
      </c>
      <c r="AB75" s="46">
        <v>0.5</v>
      </c>
      <c r="AC75" s="41"/>
      <c r="AD75" s="41"/>
      <c r="AE75" s="14">
        <v>1</v>
      </c>
      <c r="AF75" s="14">
        <v>1</v>
      </c>
    </row>
    <row r="76" spans="1:34" ht="18" customHeight="1" x14ac:dyDescent="0.35">
      <c r="A76" s="10">
        <f t="shared" si="30"/>
        <v>69</v>
      </c>
      <c r="B76" s="26">
        <v>102313733295</v>
      </c>
      <c r="C76" s="26">
        <v>2810821574</v>
      </c>
      <c r="D76" s="26" t="s">
        <v>175</v>
      </c>
      <c r="E76" s="50" t="s">
        <v>242</v>
      </c>
      <c r="F76" s="2" t="s">
        <v>245</v>
      </c>
      <c r="G76" s="2" t="s">
        <v>251</v>
      </c>
      <c r="H76" s="69">
        <v>1685</v>
      </c>
      <c r="I76" s="76">
        <v>6</v>
      </c>
      <c r="J76" s="52">
        <v>6</v>
      </c>
      <c r="K76" s="6">
        <v>13580</v>
      </c>
      <c r="L76" s="6">
        <v>5420</v>
      </c>
      <c r="M76" s="6">
        <v>0</v>
      </c>
      <c r="N76" s="11">
        <f t="shared" si="21"/>
        <v>19000</v>
      </c>
      <c r="O76" s="12">
        <f t="shared" si="22"/>
        <v>19000</v>
      </c>
      <c r="P76" s="26">
        <f t="shared" si="23"/>
        <v>2716</v>
      </c>
      <c r="Q76" s="26">
        <f t="shared" si="24"/>
        <v>1084</v>
      </c>
      <c r="R76" s="26">
        <f t="shared" si="25"/>
        <v>0</v>
      </c>
      <c r="S76" s="11"/>
      <c r="T76" s="13">
        <f t="shared" si="26"/>
        <v>3800</v>
      </c>
      <c r="U76" s="15">
        <f t="shared" si="27"/>
        <v>326</v>
      </c>
      <c r="V76" s="16">
        <f t="shared" si="20"/>
        <v>29</v>
      </c>
      <c r="W76" s="38"/>
      <c r="X76" s="17"/>
      <c r="Y76" s="13">
        <f t="shared" si="28"/>
        <v>355</v>
      </c>
      <c r="Z76" s="13">
        <f t="shared" si="29"/>
        <v>3445</v>
      </c>
      <c r="AA76" s="52">
        <v>1</v>
      </c>
      <c r="AB76" s="52">
        <v>0</v>
      </c>
      <c r="AC76" s="77"/>
      <c r="AD76" s="77"/>
      <c r="AE76" s="52">
        <v>1</v>
      </c>
      <c r="AF76" s="52">
        <v>0.5</v>
      </c>
      <c r="AH76" t="s">
        <v>293</v>
      </c>
    </row>
    <row r="77" spans="1:34" ht="18" customHeight="1" x14ac:dyDescent="0.35">
      <c r="A77" s="10">
        <f t="shared" si="30"/>
        <v>70</v>
      </c>
      <c r="B77" s="26" t="s">
        <v>47</v>
      </c>
      <c r="C77" s="26" t="s">
        <v>47</v>
      </c>
      <c r="D77" s="26" t="s">
        <v>175</v>
      </c>
      <c r="E77" s="1" t="s">
        <v>243</v>
      </c>
      <c r="F77" s="2" t="s">
        <v>246</v>
      </c>
      <c r="G77" s="2" t="s">
        <v>252</v>
      </c>
      <c r="H77" s="67">
        <v>1701</v>
      </c>
      <c r="I77" s="75">
        <v>29</v>
      </c>
      <c r="J77" s="14">
        <v>30</v>
      </c>
      <c r="K77" s="6">
        <v>13580</v>
      </c>
      <c r="L77" s="6">
        <v>8420</v>
      </c>
      <c r="M77" s="6">
        <v>0</v>
      </c>
      <c r="N77" s="11">
        <f t="shared" si="21"/>
        <v>22000</v>
      </c>
      <c r="O77" s="12">
        <f t="shared" si="22"/>
        <v>22000</v>
      </c>
      <c r="P77" s="26">
        <f t="shared" si="23"/>
        <v>13580</v>
      </c>
      <c r="Q77" s="26">
        <f t="shared" si="24"/>
        <v>8420</v>
      </c>
      <c r="R77" s="26">
        <f t="shared" si="25"/>
        <v>0</v>
      </c>
      <c r="S77" s="11"/>
      <c r="T77" s="13">
        <f t="shared" si="26"/>
        <v>22000</v>
      </c>
      <c r="U77" s="30">
        <v>0</v>
      </c>
      <c r="V77" s="30">
        <v>0</v>
      </c>
      <c r="W77" s="38"/>
      <c r="X77" s="17"/>
      <c r="Y77" s="13">
        <f t="shared" si="28"/>
        <v>0</v>
      </c>
      <c r="Z77" s="13">
        <f t="shared" si="29"/>
        <v>22000</v>
      </c>
      <c r="AA77" s="46">
        <v>0</v>
      </c>
      <c r="AB77" s="46">
        <v>0.5</v>
      </c>
      <c r="AC77" s="41"/>
      <c r="AD77" s="41"/>
      <c r="AE77" s="14">
        <v>0</v>
      </c>
      <c r="AF77" s="14">
        <v>0</v>
      </c>
    </row>
    <row r="78" spans="1:34" ht="18" customHeight="1" x14ac:dyDescent="0.35">
      <c r="A78" s="10">
        <f t="shared" si="30"/>
        <v>71</v>
      </c>
      <c r="B78" s="26">
        <v>102313733604</v>
      </c>
      <c r="C78" s="26">
        <v>2810823458</v>
      </c>
      <c r="D78" s="26" t="s">
        <v>175</v>
      </c>
      <c r="E78" s="50" t="s">
        <v>244</v>
      </c>
      <c r="F78" s="2" t="s">
        <v>247</v>
      </c>
      <c r="G78" s="2" t="s">
        <v>253</v>
      </c>
      <c r="H78" s="69">
        <v>1702</v>
      </c>
      <c r="I78" s="76">
        <v>7</v>
      </c>
      <c r="J78" s="52">
        <v>7</v>
      </c>
      <c r="K78" s="6">
        <v>13580</v>
      </c>
      <c r="L78" s="6">
        <v>7420</v>
      </c>
      <c r="M78" s="6">
        <v>0</v>
      </c>
      <c r="N78" s="11">
        <f t="shared" si="21"/>
        <v>21000</v>
      </c>
      <c r="O78" s="12">
        <f t="shared" si="22"/>
        <v>21000</v>
      </c>
      <c r="P78" s="26">
        <f t="shared" si="23"/>
        <v>3169</v>
      </c>
      <c r="Q78" s="26">
        <f t="shared" si="24"/>
        <v>1731</v>
      </c>
      <c r="R78" s="26">
        <f t="shared" si="25"/>
        <v>0</v>
      </c>
      <c r="S78" s="11"/>
      <c r="T78" s="13">
        <f t="shared" si="26"/>
        <v>4900</v>
      </c>
      <c r="U78" s="15">
        <f t="shared" si="27"/>
        <v>380</v>
      </c>
      <c r="V78" s="16">
        <f t="shared" ref="V78:V91" si="31">ROUNDUP(T78*0.75%,0)</f>
        <v>37</v>
      </c>
      <c r="W78" s="38"/>
      <c r="X78" s="17"/>
      <c r="Y78" s="13">
        <f t="shared" si="28"/>
        <v>417</v>
      </c>
      <c r="Z78" s="13">
        <f t="shared" si="29"/>
        <v>4483</v>
      </c>
      <c r="AA78" s="52">
        <v>0</v>
      </c>
      <c r="AB78" s="52">
        <v>0</v>
      </c>
      <c r="AC78" s="77"/>
      <c r="AD78" s="77"/>
      <c r="AE78" s="52">
        <v>0</v>
      </c>
      <c r="AF78" s="52">
        <v>0</v>
      </c>
      <c r="AH78" t="s">
        <v>294</v>
      </c>
    </row>
    <row r="79" spans="1:34" ht="18" customHeight="1" x14ac:dyDescent="0.35">
      <c r="A79" s="10">
        <f t="shared" si="30"/>
        <v>72</v>
      </c>
      <c r="B79" s="26">
        <v>102318009853</v>
      </c>
      <c r="C79" s="26">
        <v>2810823490</v>
      </c>
      <c r="D79" s="26"/>
      <c r="E79" s="1" t="s">
        <v>285</v>
      </c>
      <c r="F79" s="2" t="s">
        <v>250</v>
      </c>
      <c r="G79" s="2" t="s">
        <v>256</v>
      </c>
      <c r="H79" s="67">
        <v>1749</v>
      </c>
      <c r="I79" s="79">
        <v>28</v>
      </c>
      <c r="J79" s="14">
        <v>29.5</v>
      </c>
      <c r="K79" s="6">
        <v>13580</v>
      </c>
      <c r="L79" s="6">
        <v>1420</v>
      </c>
      <c r="M79" s="6">
        <v>0</v>
      </c>
      <c r="N79" s="11">
        <f t="shared" si="21"/>
        <v>15000</v>
      </c>
      <c r="O79" s="12">
        <f t="shared" si="22"/>
        <v>15000</v>
      </c>
      <c r="P79" s="26">
        <f t="shared" si="23"/>
        <v>13354</v>
      </c>
      <c r="Q79" s="26">
        <f t="shared" si="24"/>
        <v>1396</v>
      </c>
      <c r="R79" s="26">
        <f t="shared" si="25"/>
        <v>0</v>
      </c>
      <c r="S79" s="11"/>
      <c r="T79" s="13">
        <f t="shared" si="26"/>
        <v>14750</v>
      </c>
      <c r="U79" s="15">
        <f t="shared" si="27"/>
        <v>1602</v>
      </c>
      <c r="V79" s="16">
        <f t="shared" si="31"/>
        <v>111</v>
      </c>
      <c r="W79" s="38"/>
      <c r="X79" s="17"/>
      <c r="Y79" s="13">
        <f t="shared" si="28"/>
        <v>1713</v>
      </c>
      <c r="Z79" s="13">
        <f t="shared" si="29"/>
        <v>13037</v>
      </c>
      <c r="AA79" s="46">
        <v>0</v>
      </c>
      <c r="AB79" s="46">
        <v>0</v>
      </c>
      <c r="AC79" s="41"/>
      <c r="AD79" s="41"/>
      <c r="AE79" s="14">
        <v>0</v>
      </c>
      <c r="AF79" s="14">
        <v>0</v>
      </c>
    </row>
    <row r="80" spans="1:34" ht="18" customHeight="1" x14ac:dyDescent="0.35">
      <c r="A80" s="10">
        <f t="shared" si="30"/>
        <v>73</v>
      </c>
      <c r="B80" s="26">
        <v>102330180389</v>
      </c>
      <c r="C80" s="26">
        <v>2810830082</v>
      </c>
      <c r="D80" s="26" t="s">
        <v>175</v>
      </c>
      <c r="E80" s="65" t="s">
        <v>280</v>
      </c>
      <c r="F80" s="2" t="s">
        <v>281</v>
      </c>
      <c r="G80" s="59" t="s">
        <v>282</v>
      </c>
      <c r="H80" s="68">
        <v>1876</v>
      </c>
      <c r="I80" s="75">
        <v>12</v>
      </c>
      <c r="J80" s="14">
        <v>12</v>
      </c>
      <c r="K80" s="6">
        <v>13580</v>
      </c>
      <c r="L80" s="6">
        <v>6420</v>
      </c>
      <c r="M80" s="6">
        <v>0</v>
      </c>
      <c r="N80" s="11">
        <f t="shared" si="21"/>
        <v>20000</v>
      </c>
      <c r="O80" s="12">
        <f t="shared" si="22"/>
        <v>20000</v>
      </c>
      <c r="P80" s="26">
        <f t="shared" si="23"/>
        <v>5432</v>
      </c>
      <c r="Q80" s="26">
        <f t="shared" si="24"/>
        <v>2568</v>
      </c>
      <c r="R80" s="26">
        <f t="shared" si="25"/>
        <v>0</v>
      </c>
      <c r="S80" s="11"/>
      <c r="T80" s="13">
        <f t="shared" si="26"/>
        <v>8000</v>
      </c>
      <c r="U80" s="15">
        <f t="shared" si="27"/>
        <v>652</v>
      </c>
      <c r="V80" s="16">
        <f t="shared" si="31"/>
        <v>60</v>
      </c>
      <c r="W80" s="38"/>
      <c r="X80" s="17"/>
      <c r="Y80" s="13">
        <f t="shared" si="28"/>
        <v>712</v>
      </c>
      <c r="Z80" s="13">
        <f t="shared" si="29"/>
        <v>7288</v>
      </c>
      <c r="AA80" s="46">
        <v>0</v>
      </c>
      <c r="AB80" s="46">
        <v>0</v>
      </c>
      <c r="AC80" s="41"/>
      <c r="AD80" s="41"/>
      <c r="AE80" s="66"/>
      <c r="AF80" s="66"/>
    </row>
    <row r="81" spans="1:34" ht="18" customHeight="1" x14ac:dyDescent="0.35">
      <c r="A81" s="10">
        <f t="shared" si="30"/>
        <v>74</v>
      </c>
      <c r="B81" s="26">
        <v>102328618104</v>
      </c>
      <c r="C81" s="26">
        <v>2810828839</v>
      </c>
      <c r="D81" s="26"/>
      <c r="E81" s="65" t="s">
        <v>265</v>
      </c>
      <c r="F81" s="2" t="s">
        <v>279</v>
      </c>
      <c r="G81" s="59" t="s">
        <v>272</v>
      </c>
      <c r="H81" s="67">
        <v>1888</v>
      </c>
      <c r="I81" s="79">
        <v>11</v>
      </c>
      <c r="J81" s="14">
        <v>11</v>
      </c>
      <c r="K81" s="6">
        <v>13580</v>
      </c>
      <c r="L81" s="6">
        <v>6420</v>
      </c>
      <c r="M81" s="6">
        <v>0</v>
      </c>
      <c r="N81" s="11">
        <f t="shared" si="21"/>
        <v>20000</v>
      </c>
      <c r="O81" s="12">
        <f t="shared" si="22"/>
        <v>20000</v>
      </c>
      <c r="P81" s="26">
        <f t="shared" si="23"/>
        <v>4979</v>
      </c>
      <c r="Q81" s="26">
        <f t="shared" si="24"/>
        <v>2354</v>
      </c>
      <c r="R81" s="26">
        <f t="shared" si="25"/>
        <v>0</v>
      </c>
      <c r="S81" s="11"/>
      <c r="T81" s="13">
        <f t="shared" si="26"/>
        <v>7333</v>
      </c>
      <c r="U81" s="15">
        <f t="shared" si="27"/>
        <v>597</v>
      </c>
      <c r="V81" s="16">
        <f t="shared" si="31"/>
        <v>55</v>
      </c>
      <c r="W81" s="38"/>
      <c r="X81" s="17"/>
      <c r="Y81" s="13">
        <f t="shared" si="28"/>
        <v>652</v>
      </c>
      <c r="Z81" s="13">
        <f t="shared" si="29"/>
        <v>6681</v>
      </c>
      <c r="AA81" s="46">
        <v>0</v>
      </c>
      <c r="AB81" s="46">
        <v>0</v>
      </c>
      <c r="AC81" s="41"/>
      <c r="AD81" s="41"/>
      <c r="AE81" s="66"/>
      <c r="AF81" s="66"/>
    </row>
    <row r="82" spans="1:34" ht="18" customHeight="1" x14ac:dyDescent="0.35">
      <c r="A82" s="10">
        <f t="shared" si="30"/>
        <v>75</v>
      </c>
      <c r="B82" s="26">
        <v>102243941170</v>
      </c>
      <c r="C82" s="26">
        <v>2810828837</v>
      </c>
      <c r="D82" s="26"/>
      <c r="E82" s="65" t="s">
        <v>264</v>
      </c>
      <c r="F82" s="2" t="s">
        <v>278</v>
      </c>
      <c r="G82" s="59" t="s">
        <v>271</v>
      </c>
      <c r="H82" s="67">
        <v>1889</v>
      </c>
      <c r="I82" s="79">
        <v>11</v>
      </c>
      <c r="J82" s="14">
        <v>11</v>
      </c>
      <c r="K82" s="6">
        <v>13580</v>
      </c>
      <c r="L82" s="6">
        <v>6420</v>
      </c>
      <c r="M82" s="6">
        <v>0</v>
      </c>
      <c r="N82" s="11">
        <f t="shared" si="21"/>
        <v>20000</v>
      </c>
      <c r="O82" s="12">
        <f t="shared" si="22"/>
        <v>20000</v>
      </c>
      <c r="P82" s="26">
        <f t="shared" si="23"/>
        <v>4979</v>
      </c>
      <c r="Q82" s="26">
        <f t="shared" si="24"/>
        <v>2354</v>
      </c>
      <c r="R82" s="26">
        <f t="shared" si="25"/>
        <v>0</v>
      </c>
      <c r="S82" s="11"/>
      <c r="T82" s="13">
        <f t="shared" si="26"/>
        <v>7333</v>
      </c>
      <c r="U82" s="15">
        <f t="shared" si="27"/>
        <v>597</v>
      </c>
      <c r="V82" s="16">
        <f t="shared" si="31"/>
        <v>55</v>
      </c>
      <c r="W82" s="38"/>
      <c r="X82" s="17"/>
      <c r="Y82" s="13">
        <f t="shared" si="28"/>
        <v>652</v>
      </c>
      <c r="Z82" s="13">
        <f t="shared" si="29"/>
        <v>6681</v>
      </c>
      <c r="AA82" s="46">
        <v>0</v>
      </c>
      <c r="AB82" s="46">
        <v>0</v>
      </c>
      <c r="AC82" s="41"/>
      <c r="AD82" s="41"/>
      <c r="AE82" s="66"/>
      <c r="AF82" s="66"/>
    </row>
    <row r="83" spans="1:34" ht="18" customHeight="1" x14ac:dyDescent="0.35">
      <c r="A83" s="10">
        <f t="shared" si="30"/>
        <v>76</v>
      </c>
      <c r="B83" s="26">
        <v>102119837813</v>
      </c>
      <c r="C83" s="26">
        <v>2810828834</v>
      </c>
      <c r="D83" s="26"/>
      <c r="E83" s="65" t="s">
        <v>262</v>
      </c>
      <c r="F83" s="2" t="s">
        <v>276</v>
      </c>
      <c r="G83" s="59" t="s">
        <v>269</v>
      </c>
      <c r="H83" s="67">
        <v>1890</v>
      </c>
      <c r="I83" s="79">
        <v>11</v>
      </c>
      <c r="J83" s="14">
        <v>11</v>
      </c>
      <c r="K83" s="6">
        <v>13580</v>
      </c>
      <c r="L83" s="6">
        <v>6420</v>
      </c>
      <c r="M83" s="6">
        <v>0</v>
      </c>
      <c r="N83" s="11">
        <f t="shared" si="21"/>
        <v>20000</v>
      </c>
      <c r="O83" s="12">
        <f t="shared" si="22"/>
        <v>20000</v>
      </c>
      <c r="P83" s="26">
        <f t="shared" si="23"/>
        <v>4979</v>
      </c>
      <c r="Q83" s="26">
        <f t="shared" si="24"/>
        <v>2354</v>
      </c>
      <c r="R83" s="26">
        <f t="shared" si="25"/>
        <v>0</v>
      </c>
      <c r="S83" s="11"/>
      <c r="T83" s="13">
        <f t="shared" si="26"/>
        <v>7333</v>
      </c>
      <c r="U83" s="15">
        <f t="shared" si="27"/>
        <v>597</v>
      </c>
      <c r="V83" s="16">
        <f t="shared" si="31"/>
        <v>55</v>
      </c>
      <c r="W83" s="38"/>
      <c r="X83" s="17"/>
      <c r="Y83" s="13">
        <f t="shared" si="28"/>
        <v>652</v>
      </c>
      <c r="Z83" s="13">
        <f t="shared" si="29"/>
        <v>6681</v>
      </c>
      <c r="AA83" s="46">
        <v>0</v>
      </c>
      <c r="AB83" s="46">
        <v>0</v>
      </c>
      <c r="AC83" s="41"/>
      <c r="AD83" s="41"/>
      <c r="AE83" s="66"/>
      <c r="AF83" s="66"/>
    </row>
    <row r="84" spans="1:34" ht="18" customHeight="1" x14ac:dyDescent="0.35">
      <c r="A84" s="10">
        <f t="shared" si="30"/>
        <v>77</v>
      </c>
      <c r="B84" s="26">
        <v>102326436535</v>
      </c>
      <c r="C84" s="26">
        <v>2810828828</v>
      </c>
      <c r="D84" s="26"/>
      <c r="E84" s="65" t="s">
        <v>261</v>
      </c>
      <c r="F84" s="2" t="s">
        <v>275</v>
      </c>
      <c r="G84" s="59" t="s">
        <v>268</v>
      </c>
      <c r="H84" s="67">
        <v>1891</v>
      </c>
      <c r="I84" s="79">
        <v>9</v>
      </c>
      <c r="J84" s="14">
        <v>9</v>
      </c>
      <c r="K84" s="6">
        <v>13580</v>
      </c>
      <c r="L84" s="6">
        <v>6420</v>
      </c>
      <c r="M84" s="6">
        <v>0</v>
      </c>
      <c r="N84" s="11">
        <f t="shared" si="21"/>
        <v>20000</v>
      </c>
      <c r="O84" s="12">
        <f t="shared" si="22"/>
        <v>20000</v>
      </c>
      <c r="P84" s="26">
        <f t="shared" si="23"/>
        <v>4074</v>
      </c>
      <c r="Q84" s="26">
        <f t="shared" si="24"/>
        <v>1926</v>
      </c>
      <c r="R84" s="26">
        <f t="shared" si="25"/>
        <v>0</v>
      </c>
      <c r="S84" s="11"/>
      <c r="T84" s="13">
        <f t="shared" si="26"/>
        <v>6000</v>
      </c>
      <c r="U84" s="15">
        <f t="shared" si="27"/>
        <v>489</v>
      </c>
      <c r="V84" s="16">
        <f t="shared" si="31"/>
        <v>45</v>
      </c>
      <c r="W84" s="38"/>
      <c r="X84" s="17"/>
      <c r="Y84" s="13">
        <f t="shared" si="28"/>
        <v>534</v>
      </c>
      <c r="Z84" s="13">
        <f t="shared" si="29"/>
        <v>5466</v>
      </c>
      <c r="AA84" s="46">
        <v>0</v>
      </c>
      <c r="AB84" s="46">
        <v>0</v>
      </c>
      <c r="AC84" s="41"/>
      <c r="AD84" s="41"/>
      <c r="AE84" s="66"/>
      <c r="AF84" s="66"/>
    </row>
    <row r="85" spans="1:34" ht="18" customHeight="1" x14ac:dyDescent="0.35">
      <c r="A85" s="10">
        <f t="shared" si="30"/>
        <v>78</v>
      </c>
      <c r="B85" s="26">
        <v>102065568661</v>
      </c>
      <c r="C85" s="26">
        <v>2810828826</v>
      </c>
      <c r="D85" s="26"/>
      <c r="E85" s="65" t="s">
        <v>259</v>
      </c>
      <c r="F85" s="2" t="s">
        <v>273</v>
      </c>
      <c r="G85" s="59" t="s">
        <v>266</v>
      </c>
      <c r="H85" s="67">
        <v>1892</v>
      </c>
      <c r="I85" s="79">
        <v>10</v>
      </c>
      <c r="J85" s="14">
        <v>10</v>
      </c>
      <c r="K85" s="6">
        <v>13580</v>
      </c>
      <c r="L85" s="6">
        <v>6420</v>
      </c>
      <c r="M85" s="6">
        <v>0</v>
      </c>
      <c r="N85" s="11">
        <f t="shared" si="21"/>
        <v>20000</v>
      </c>
      <c r="O85" s="12">
        <f t="shared" si="22"/>
        <v>20000</v>
      </c>
      <c r="P85" s="26">
        <f t="shared" si="23"/>
        <v>4527</v>
      </c>
      <c r="Q85" s="26">
        <f t="shared" si="24"/>
        <v>2140</v>
      </c>
      <c r="R85" s="26">
        <f t="shared" si="25"/>
        <v>0</v>
      </c>
      <c r="S85" s="11"/>
      <c r="T85" s="13">
        <f t="shared" si="26"/>
        <v>6667</v>
      </c>
      <c r="U85" s="15">
        <f t="shared" si="27"/>
        <v>543</v>
      </c>
      <c r="V85" s="16">
        <f t="shared" si="31"/>
        <v>51</v>
      </c>
      <c r="W85" s="37"/>
      <c r="X85" s="3"/>
      <c r="Y85" s="13">
        <f t="shared" si="28"/>
        <v>594</v>
      </c>
      <c r="Z85" s="13">
        <f t="shared" si="29"/>
        <v>6073</v>
      </c>
      <c r="AA85" s="46">
        <v>0</v>
      </c>
      <c r="AB85" s="46">
        <v>0</v>
      </c>
      <c r="AC85" s="41"/>
      <c r="AD85" s="41"/>
      <c r="AE85" s="66"/>
      <c r="AF85" s="66"/>
    </row>
    <row r="86" spans="1:34" ht="18" customHeight="1" x14ac:dyDescent="0.35">
      <c r="A86" s="10">
        <f t="shared" si="30"/>
        <v>79</v>
      </c>
      <c r="B86" s="26">
        <v>102326237888</v>
      </c>
      <c r="C86" s="26">
        <v>2810828827</v>
      </c>
      <c r="D86" s="26"/>
      <c r="E86" s="65" t="s">
        <v>260</v>
      </c>
      <c r="F86" s="2" t="s">
        <v>274</v>
      </c>
      <c r="G86" s="59" t="s">
        <v>267</v>
      </c>
      <c r="H86" s="67">
        <v>1893</v>
      </c>
      <c r="I86" s="79">
        <v>11</v>
      </c>
      <c r="J86" s="14">
        <v>11</v>
      </c>
      <c r="K86" s="6">
        <v>13580</v>
      </c>
      <c r="L86" s="6">
        <v>4420</v>
      </c>
      <c r="M86" s="6">
        <v>0</v>
      </c>
      <c r="N86" s="11">
        <f t="shared" si="21"/>
        <v>18000</v>
      </c>
      <c r="O86" s="12">
        <f t="shared" si="22"/>
        <v>18000</v>
      </c>
      <c r="P86" s="26">
        <f t="shared" si="23"/>
        <v>4979</v>
      </c>
      <c r="Q86" s="26">
        <f t="shared" si="24"/>
        <v>1621</v>
      </c>
      <c r="R86" s="26">
        <f t="shared" si="25"/>
        <v>0</v>
      </c>
      <c r="S86" s="11"/>
      <c r="T86" s="13">
        <f t="shared" si="26"/>
        <v>6600</v>
      </c>
      <c r="U86" s="15">
        <f t="shared" si="27"/>
        <v>597</v>
      </c>
      <c r="V86" s="16">
        <f t="shared" si="31"/>
        <v>50</v>
      </c>
      <c r="W86" s="37"/>
      <c r="X86" s="3"/>
      <c r="Y86" s="13">
        <f t="shared" si="28"/>
        <v>647</v>
      </c>
      <c r="Z86" s="13">
        <f t="shared" si="29"/>
        <v>5953</v>
      </c>
      <c r="AA86" s="46">
        <v>0</v>
      </c>
      <c r="AB86" s="46">
        <v>0</v>
      </c>
      <c r="AC86" s="41"/>
      <c r="AD86" s="41"/>
      <c r="AE86" s="66"/>
      <c r="AF86" s="66"/>
    </row>
    <row r="87" spans="1:34" ht="18" customHeight="1" x14ac:dyDescent="0.35">
      <c r="A87" s="10">
        <f t="shared" si="30"/>
        <v>80</v>
      </c>
      <c r="B87" s="26">
        <v>102199346827</v>
      </c>
      <c r="C87" s="26">
        <v>2810828835</v>
      </c>
      <c r="D87" s="26"/>
      <c r="E87" s="65" t="s">
        <v>263</v>
      </c>
      <c r="F87" s="2" t="s">
        <v>277</v>
      </c>
      <c r="G87" s="59" t="s">
        <v>270</v>
      </c>
      <c r="H87" s="67">
        <v>1899</v>
      </c>
      <c r="I87" s="79">
        <v>11</v>
      </c>
      <c r="J87" s="14">
        <v>11</v>
      </c>
      <c r="K87" s="6">
        <v>13580</v>
      </c>
      <c r="L87" s="6">
        <v>6420</v>
      </c>
      <c r="M87" s="6">
        <v>0</v>
      </c>
      <c r="N87" s="11">
        <f t="shared" si="21"/>
        <v>20000</v>
      </c>
      <c r="O87" s="12">
        <f t="shared" si="22"/>
        <v>20000</v>
      </c>
      <c r="P87" s="26">
        <f t="shared" si="23"/>
        <v>4979</v>
      </c>
      <c r="Q87" s="26">
        <f t="shared" si="24"/>
        <v>2354</v>
      </c>
      <c r="R87" s="26">
        <f t="shared" si="25"/>
        <v>0</v>
      </c>
      <c r="S87" s="11"/>
      <c r="T87" s="13">
        <f t="shared" si="26"/>
        <v>7333</v>
      </c>
      <c r="U87" s="15">
        <f t="shared" si="27"/>
        <v>597</v>
      </c>
      <c r="V87" s="16">
        <f t="shared" si="31"/>
        <v>55</v>
      </c>
      <c r="W87" s="37"/>
      <c r="X87" s="3"/>
      <c r="Y87" s="13">
        <f t="shared" si="28"/>
        <v>652</v>
      </c>
      <c r="Z87" s="13">
        <f t="shared" si="29"/>
        <v>6681</v>
      </c>
      <c r="AA87" s="46">
        <v>0</v>
      </c>
      <c r="AB87" s="46">
        <v>0</v>
      </c>
      <c r="AC87" s="41"/>
      <c r="AD87" s="41"/>
      <c r="AE87" s="66"/>
      <c r="AF87" s="66"/>
    </row>
    <row r="88" spans="1:34" ht="18" customHeight="1" x14ac:dyDescent="0.35">
      <c r="A88" s="10">
        <f t="shared" si="30"/>
        <v>81</v>
      </c>
      <c r="B88" s="26">
        <v>101802163841</v>
      </c>
      <c r="C88" s="32">
        <v>6720922164</v>
      </c>
      <c r="D88" s="32"/>
      <c r="E88" s="74" t="s">
        <v>118</v>
      </c>
      <c r="F88" s="2" t="s">
        <v>124</v>
      </c>
      <c r="G88" s="2" t="s">
        <v>130</v>
      </c>
      <c r="H88" s="67" t="s">
        <v>220</v>
      </c>
      <c r="I88" s="79">
        <v>27</v>
      </c>
      <c r="J88" s="14">
        <v>30</v>
      </c>
      <c r="K88" s="6">
        <v>13580</v>
      </c>
      <c r="L88" s="6">
        <v>5170</v>
      </c>
      <c r="M88" s="6">
        <v>0</v>
      </c>
      <c r="N88" s="11">
        <f t="shared" si="21"/>
        <v>18750</v>
      </c>
      <c r="O88" s="12">
        <f t="shared" si="22"/>
        <v>18750</v>
      </c>
      <c r="P88" s="26">
        <f t="shared" si="23"/>
        <v>13580</v>
      </c>
      <c r="Q88" s="26">
        <f t="shared" si="24"/>
        <v>5170</v>
      </c>
      <c r="R88" s="26">
        <f t="shared" si="25"/>
        <v>0</v>
      </c>
      <c r="S88" s="11"/>
      <c r="T88" s="13">
        <f t="shared" si="26"/>
        <v>18750</v>
      </c>
      <c r="U88" s="15">
        <f t="shared" si="27"/>
        <v>1630</v>
      </c>
      <c r="V88" s="16">
        <f t="shared" si="31"/>
        <v>141</v>
      </c>
      <c r="W88" s="37"/>
      <c r="X88" s="3"/>
      <c r="Y88" s="13">
        <f t="shared" si="28"/>
        <v>1771</v>
      </c>
      <c r="Z88" s="13">
        <f t="shared" si="29"/>
        <v>16979</v>
      </c>
      <c r="AA88" s="46">
        <v>10</v>
      </c>
      <c r="AB88" s="46">
        <v>0</v>
      </c>
      <c r="AC88" s="41"/>
      <c r="AD88" s="41"/>
      <c r="AE88" s="14">
        <v>10</v>
      </c>
      <c r="AF88" s="14">
        <v>1.5</v>
      </c>
    </row>
    <row r="89" spans="1:34" ht="18" customHeight="1" x14ac:dyDescent="0.35">
      <c r="A89" s="10">
        <f t="shared" si="30"/>
        <v>82</v>
      </c>
      <c r="B89" s="26">
        <v>102219549827</v>
      </c>
      <c r="C89" s="32">
        <v>2810750433</v>
      </c>
      <c r="D89" s="32"/>
      <c r="E89" s="74" t="s">
        <v>119</v>
      </c>
      <c r="F89" s="2" t="s">
        <v>125</v>
      </c>
      <c r="G89" s="2" t="s">
        <v>131</v>
      </c>
      <c r="H89" s="67" t="s">
        <v>220</v>
      </c>
      <c r="I89" s="79">
        <v>29</v>
      </c>
      <c r="J89" s="14">
        <v>30</v>
      </c>
      <c r="K89" s="6">
        <v>13500</v>
      </c>
      <c r="L89" s="6">
        <v>0</v>
      </c>
      <c r="M89" s="6">
        <v>0</v>
      </c>
      <c r="N89" s="11">
        <f t="shared" si="21"/>
        <v>13500</v>
      </c>
      <c r="O89" s="12">
        <f t="shared" si="22"/>
        <v>13500</v>
      </c>
      <c r="P89" s="26">
        <f t="shared" si="23"/>
        <v>13500</v>
      </c>
      <c r="Q89" s="26">
        <f t="shared" si="24"/>
        <v>0</v>
      </c>
      <c r="R89" s="26">
        <f t="shared" si="25"/>
        <v>0</v>
      </c>
      <c r="S89" s="11"/>
      <c r="T89" s="13">
        <f t="shared" si="26"/>
        <v>13500</v>
      </c>
      <c r="U89" s="15">
        <f t="shared" si="27"/>
        <v>1620</v>
      </c>
      <c r="V89" s="16">
        <f t="shared" si="31"/>
        <v>102</v>
      </c>
      <c r="W89" s="37"/>
      <c r="X89" s="3"/>
      <c r="Y89" s="13">
        <f t="shared" si="28"/>
        <v>1722</v>
      </c>
      <c r="Z89" s="13">
        <f t="shared" si="29"/>
        <v>11778</v>
      </c>
      <c r="AA89" s="46">
        <v>11</v>
      </c>
      <c r="AB89" s="46">
        <v>1</v>
      </c>
      <c r="AC89" s="41"/>
      <c r="AD89" s="41"/>
      <c r="AE89" s="14">
        <v>10</v>
      </c>
      <c r="AF89" s="14">
        <v>1.5</v>
      </c>
    </row>
    <row r="90" spans="1:34" ht="18" customHeight="1" x14ac:dyDescent="0.35">
      <c r="A90" s="10">
        <f t="shared" si="30"/>
        <v>83</v>
      </c>
      <c r="B90" s="26">
        <v>102315778193</v>
      </c>
      <c r="C90" s="26">
        <v>2810823463</v>
      </c>
      <c r="D90" s="26" t="s">
        <v>257</v>
      </c>
      <c r="E90" s="1" t="s">
        <v>283</v>
      </c>
      <c r="F90" s="2" t="s">
        <v>248</v>
      </c>
      <c r="G90" s="2" t="s">
        <v>254</v>
      </c>
      <c r="H90" s="68" t="s">
        <v>220</v>
      </c>
      <c r="I90" s="10">
        <v>29</v>
      </c>
      <c r="J90" s="14">
        <v>30</v>
      </c>
      <c r="K90" s="6">
        <v>13580</v>
      </c>
      <c r="L90" s="6">
        <v>3420</v>
      </c>
      <c r="M90" s="6">
        <v>0</v>
      </c>
      <c r="N90" s="11">
        <f t="shared" si="21"/>
        <v>17000</v>
      </c>
      <c r="O90" s="12">
        <f t="shared" si="22"/>
        <v>17000</v>
      </c>
      <c r="P90" s="26">
        <f t="shared" si="23"/>
        <v>13580</v>
      </c>
      <c r="Q90" s="26">
        <f t="shared" si="24"/>
        <v>3420</v>
      </c>
      <c r="R90" s="26">
        <f t="shared" si="25"/>
        <v>0</v>
      </c>
      <c r="S90" s="11"/>
      <c r="T90" s="13">
        <f t="shared" si="26"/>
        <v>17000</v>
      </c>
      <c r="U90" s="15">
        <f t="shared" si="27"/>
        <v>1630</v>
      </c>
      <c r="V90" s="16">
        <f t="shared" si="31"/>
        <v>128</v>
      </c>
      <c r="W90" s="37"/>
      <c r="X90" s="3"/>
      <c r="Y90" s="13">
        <f t="shared" si="28"/>
        <v>1758</v>
      </c>
      <c r="Z90" s="13">
        <f t="shared" si="29"/>
        <v>15242</v>
      </c>
      <c r="AA90" s="46">
        <v>0</v>
      </c>
      <c r="AB90" s="46">
        <v>0.5</v>
      </c>
      <c r="AC90" s="41"/>
      <c r="AD90" s="41"/>
      <c r="AE90" s="14">
        <v>0</v>
      </c>
      <c r="AF90" s="14">
        <v>0</v>
      </c>
    </row>
    <row r="91" spans="1:34" ht="18" customHeight="1" x14ac:dyDescent="0.35">
      <c r="A91" s="10">
        <f t="shared" si="30"/>
        <v>84</v>
      </c>
      <c r="B91" s="49">
        <v>102315775249</v>
      </c>
      <c r="C91" s="49">
        <v>2810823465</v>
      </c>
      <c r="D91" s="49" t="s">
        <v>257</v>
      </c>
      <c r="E91" s="50" t="s">
        <v>284</v>
      </c>
      <c r="F91" s="51" t="s">
        <v>249</v>
      </c>
      <c r="G91" s="51" t="s">
        <v>255</v>
      </c>
      <c r="H91" s="78" t="s">
        <v>220</v>
      </c>
      <c r="I91" s="48">
        <v>18</v>
      </c>
      <c r="J91" s="52">
        <v>19</v>
      </c>
      <c r="K91" s="53">
        <v>13580</v>
      </c>
      <c r="L91" s="53">
        <v>2420</v>
      </c>
      <c r="M91" s="53">
        <v>0</v>
      </c>
      <c r="N91" s="50">
        <f t="shared" si="21"/>
        <v>16000</v>
      </c>
      <c r="O91" s="54">
        <f t="shared" si="22"/>
        <v>16000</v>
      </c>
      <c r="P91" s="60">
        <f t="shared" si="23"/>
        <v>8601</v>
      </c>
      <c r="Q91" s="60">
        <f t="shared" si="24"/>
        <v>1533</v>
      </c>
      <c r="R91" s="60">
        <f t="shared" si="25"/>
        <v>0</v>
      </c>
      <c r="S91" s="61"/>
      <c r="T91" s="62">
        <f t="shared" si="26"/>
        <v>10134</v>
      </c>
      <c r="U91" s="63">
        <f t="shared" si="27"/>
        <v>1032</v>
      </c>
      <c r="V91" s="72">
        <f t="shared" si="31"/>
        <v>77</v>
      </c>
      <c r="W91" s="38"/>
      <c r="X91" s="17"/>
      <c r="Y91" s="62">
        <f t="shared" si="28"/>
        <v>1109</v>
      </c>
      <c r="Z91" s="62">
        <f t="shared" si="29"/>
        <v>9025</v>
      </c>
      <c r="AA91" s="52">
        <v>0</v>
      </c>
      <c r="AB91" s="52">
        <v>0</v>
      </c>
      <c r="AC91" s="77"/>
      <c r="AD91" s="77"/>
      <c r="AE91" s="52">
        <v>0</v>
      </c>
      <c r="AF91" s="52">
        <v>0</v>
      </c>
      <c r="AH91" t="s">
        <v>295</v>
      </c>
    </row>
    <row r="92" spans="1:34" x14ac:dyDescent="0.35">
      <c r="A92" s="19"/>
      <c r="B92" s="19"/>
      <c r="C92" s="19"/>
      <c r="D92" s="19"/>
      <c r="E92" s="20"/>
      <c r="F92" s="4"/>
      <c r="G92" s="43"/>
      <c r="H92" s="4"/>
      <c r="I92" s="4"/>
      <c r="K92" s="4"/>
      <c r="L92" s="4"/>
      <c r="M92" s="4"/>
      <c r="N92" s="4"/>
      <c r="O92" s="4"/>
      <c r="P92" s="64">
        <f t="shared" ref="P92:Z92" si="32">SUM(P8:P91)</f>
        <v>1146715</v>
      </c>
      <c r="Q92" s="64">
        <f t="shared" si="32"/>
        <v>671232</v>
      </c>
      <c r="R92" s="64">
        <f t="shared" si="32"/>
        <v>121630</v>
      </c>
      <c r="S92" s="64">
        <f t="shared" si="32"/>
        <v>0</v>
      </c>
      <c r="T92" s="64">
        <f t="shared" si="32"/>
        <v>1939577</v>
      </c>
      <c r="U92" s="64">
        <f t="shared" si="32"/>
        <v>121006</v>
      </c>
      <c r="V92" s="64">
        <f t="shared" si="32"/>
        <v>4270</v>
      </c>
      <c r="W92" s="64">
        <f t="shared" si="32"/>
        <v>0</v>
      </c>
      <c r="X92" s="64">
        <f t="shared" si="32"/>
        <v>0</v>
      </c>
      <c r="Y92" s="64">
        <f t="shared" si="32"/>
        <v>125276</v>
      </c>
      <c r="Z92" s="64">
        <f t="shared" si="32"/>
        <v>1814301</v>
      </c>
      <c r="AA92" s="21"/>
    </row>
    <row r="93" spans="1:34" x14ac:dyDescent="0.35">
      <c r="A93" s="19"/>
      <c r="B93" s="19"/>
      <c r="C93" s="19"/>
      <c r="D93" s="19"/>
      <c r="E93" s="22"/>
      <c r="H93" s="4"/>
      <c r="I93" s="4"/>
      <c r="K93" s="4"/>
      <c r="L93" s="4"/>
      <c r="M93" s="4"/>
      <c r="N93" s="4"/>
      <c r="O93" s="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21"/>
    </row>
    <row r="94" spans="1:34" x14ac:dyDescent="0.35">
      <c r="X94" s="23"/>
      <c r="Y94" s="23"/>
      <c r="Z94" s="23"/>
    </row>
    <row r="95" spans="1:34" x14ac:dyDescent="0.35">
      <c r="Y95" s="23"/>
    </row>
    <row r="96" spans="1:34" x14ac:dyDescent="0.35">
      <c r="T96" s="23"/>
      <c r="X96" s="23"/>
      <c r="Z96" s="23"/>
    </row>
  </sheetData>
  <mergeCells count="3">
    <mergeCell ref="A1:AB3"/>
    <mergeCell ref="U6:X6"/>
    <mergeCell ref="A5:Z5"/>
  </mergeCells>
  <pageMargins left="0.34" right="0.27" top="0.75" bottom="0.18" header="0.3" footer="0.3"/>
  <pageSetup paperSize="9" scale="4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APR-26</vt:lpstr>
      <vt:lpstr>'APR-26'!Print_Area</vt:lpstr>
    </vt:vector>
  </TitlesOfParts>
  <Company>sify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</dc:creator>
  <cp:lastModifiedBy>Admin</cp:lastModifiedBy>
  <cp:lastPrinted>2026-01-08T14:48:57Z</cp:lastPrinted>
  <dcterms:created xsi:type="dcterms:W3CDTF">2014-01-12T12:15:53Z</dcterms:created>
  <dcterms:modified xsi:type="dcterms:W3CDTF">2026-05-12T15:09:46Z</dcterms:modified>
</cp:coreProperties>
</file>