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640"/>
  </bookViews>
  <sheets>
    <sheet name="APR'26" sheetId="3" r:id="rId1"/>
  </sheets>
  <definedNames>
    <definedName name="_xlnm._FilterDatabase" localSheetId="0" hidden="1">'APR''26'!$A$7:$AE$7</definedName>
    <definedName name="_xlnm.Print_Area" localSheetId="0">'APR''26'!$A$1:$AB$108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4" i="3" l="1"/>
  <c r="W114" i="3"/>
  <c r="X114" i="3"/>
  <c r="U113" i="3"/>
  <c r="R113" i="3"/>
  <c r="Q113" i="3"/>
  <c r="P113" i="3"/>
  <c r="N113" i="3"/>
  <c r="O113" i="3" s="1"/>
  <c r="R112" i="3"/>
  <c r="Q112" i="3"/>
  <c r="P112" i="3"/>
  <c r="U112" i="3" s="1"/>
  <c r="N112" i="3"/>
  <c r="O112" i="3" s="1"/>
  <c r="R111" i="3"/>
  <c r="Q111" i="3"/>
  <c r="P111" i="3"/>
  <c r="U111" i="3" s="1"/>
  <c r="N111" i="3"/>
  <c r="O111" i="3" s="1"/>
  <c r="Y113" i="3" l="1"/>
  <c r="T113" i="3"/>
  <c r="T111" i="3"/>
  <c r="V111" i="3" s="1"/>
  <c r="T112" i="3"/>
  <c r="V112" i="3" l="1"/>
  <c r="Y112" i="3" s="1"/>
  <c r="Z112" i="3" s="1"/>
  <c r="Z113" i="3"/>
  <c r="Y111" i="3" l="1"/>
  <c r="Z111" i="3" l="1"/>
  <c r="Y14" i="3" l="1"/>
  <c r="R14" i="3"/>
  <c r="Q14" i="3"/>
  <c r="P14" i="3"/>
  <c r="N14" i="3"/>
  <c r="O14" i="3" s="1"/>
  <c r="Y13" i="3"/>
  <c r="R13" i="3"/>
  <c r="Q13" i="3"/>
  <c r="P13" i="3"/>
  <c r="N13" i="3"/>
  <c r="O13" i="3" s="1"/>
  <c r="R12" i="3"/>
  <c r="Q12" i="3"/>
  <c r="P12" i="3"/>
  <c r="U12" i="3" s="1"/>
  <c r="N12" i="3"/>
  <c r="O12" i="3" s="1"/>
  <c r="Y11" i="3"/>
  <c r="R11" i="3"/>
  <c r="Q11" i="3"/>
  <c r="P11" i="3"/>
  <c r="N11" i="3"/>
  <c r="O11" i="3" s="1"/>
  <c r="R10" i="3"/>
  <c r="Q10" i="3"/>
  <c r="P10" i="3"/>
  <c r="U10" i="3" s="1"/>
  <c r="N10" i="3"/>
  <c r="O10" i="3" s="1"/>
  <c r="R9" i="3"/>
  <c r="Q9" i="3"/>
  <c r="P9" i="3"/>
  <c r="U9" i="3" s="1"/>
  <c r="N9" i="3"/>
  <c r="O9" i="3" s="1"/>
  <c r="Y8" i="3"/>
  <c r="R8" i="3"/>
  <c r="Q8" i="3"/>
  <c r="P8" i="3"/>
  <c r="N8" i="3"/>
  <c r="O8" i="3" s="1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R15" i="3"/>
  <c r="Q15" i="3"/>
  <c r="P15" i="3"/>
  <c r="U15" i="3" s="1"/>
  <c r="N15" i="3"/>
  <c r="O15" i="3" s="1"/>
  <c r="T10" i="3" l="1"/>
  <c r="V10" i="3" s="1"/>
  <c r="T11" i="3"/>
  <c r="Z11" i="3" s="1"/>
  <c r="T13" i="3"/>
  <c r="Z13" i="3" s="1"/>
  <c r="T8" i="3"/>
  <c r="Z8" i="3" s="1"/>
  <c r="T14" i="3"/>
  <c r="Z14" i="3" s="1"/>
  <c r="T15" i="3"/>
  <c r="V15" i="3" s="1"/>
  <c r="Y15" i="3" s="1"/>
  <c r="Z15" i="3" s="1"/>
  <c r="T12" i="3"/>
  <c r="V12" i="3" s="1"/>
  <c r="Y12" i="3" s="1"/>
  <c r="Z12" i="3" s="1"/>
  <c r="T9" i="3"/>
  <c r="Y10" i="3" l="1"/>
  <c r="Z10" i="3" s="1"/>
  <c r="V9" i="3"/>
  <c r="Y9" i="3" s="1"/>
  <c r="Z9" i="3" s="1"/>
  <c r="N106" i="3" l="1"/>
  <c r="O106" i="3" s="1"/>
  <c r="R106" i="3"/>
  <c r="Q106" i="3"/>
  <c r="P106" i="3"/>
  <c r="U106" i="3" s="1"/>
  <c r="T106" i="3" l="1"/>
  <c r="V106" i="3" s="1"/>
  <c r="Y106" i="3" s="1"/>
  <c r="N108" i="3"/>
  <c r="O108" i="3" s="1"/>
  <c r="P108" i="3"/>
  <c r="U108" i="3" s="1"/>
  <c r="Q108" i="3"/>
  <c r="R108" i="3"/>
  <c r="N104" i="3"/>
  <c r="O104" i="3" s="1"/>
  <c r="P104" i="3"/>
  <c r="U104" i="3" s="1"/>
  <c r="Q104" i="3"/>
  <c r="R104" i="3"/>
  <c r="R109" i="3"/>
  <c r="Q109" i="3"/>
  <c r="P109" i="3"/>
  <c r="N109" i="3"/>
  <c r="O109" i="3" s="1"/>
  <c r="R107" i="3"/>
  <c r="Q107" i="3"/>
  <c r="P107" i="3"/>
  <c r="U107" i="3" s="1"/>
  <c r="N107" i="3"/>
  <c r="O107" i="3" s="1"/>
  <c r="Z106" i="3" l="1"/>
  <c r="T109" i="3"/>
  <c r="V109" i="3" s="1"/>
  <c r="T108" i="3"/>
  <c r="V108" i="3" s="1"/>
  <c r="Y108" i="3" s="1"/>
  <c r="Z108" i="3" s="1"/>
  <c r="T107" i="3"/>
  <c r="V107" i="3" s="1"/>
  <c r="Y107" i="3" s="1"/>
  <c r="Z107" i="3" s="1"/>
  <c r="T104" i="3"/>
  <c r="V104" i="3" s="1"/>
  <c r="Y104" i="3" s="1"/>
  <c r="Z104" i="3" s="1"/>
  <c r="U109" i="3"/>
  <c r="Y109" i="3" l="1"/>
  <c r="Z109" i="3" s="1"/>
  <c r="P105" i="3"/>
  <c r="U105" i="3" s="1"/>
  <c r="Q105" i="3"/>
  <c r="R105" i="3"/>
  <c r="N105" i="3"/>
  <c r="O105" i="3" s="1"/>
  <c r="T105" i="3" l="1"/>
  <c r="V105" i="3" s="1"/>
  <c r="Y105" i="3" s="1"/>
  <c r="Z105" i="3" l="1"/>
  <c r="N101" i="3"/>
  <c r="N102" i="3"/>
  <c r="O102" i="3" s="1"/>
  <c r="P102" i="3"/>
  <c r="Q102" i="3"/>
  <c r="R102" i="3"/>
  <c r="N110" i="3"/>
  <c r="O110" i="3" s="1"/>
  <c r="P110" i="3"/>
  <c r="Q110" i="3"/>
  <c r="R110" i="3"/>
  <c r="T102" i="3" l="1"/>
  <c r="U102" i="3"/>
  <c r="Y102" i="3" s="1"/>
  <c r="T110" i="3"/>
  <c r="U110" i="3"/>
  <c r="Y110" i="3" s="1"/>
  <c r="Z110" i="3" s="1"/>
  <c r="Z102" i="3" l="1"/>
  <c r="Q103" i="3"/>
  <c r="P101" i="3" l="1"/>
  <c r="U101" i="3" s="1"/>
  <c r="Q101" i="3"/>
  <c r="O101" i="3"/>
  <c r="N77" i="3"/>
  <c r="R101" i="3"/>
  <c r="T101" i="3" l="1"/>
  <c r="R96" i="3"/>
  <c r="Q96" i="3"/>
  <c r="P96" i="3"/>
  <c r="N96" i="3"/>
  <c r="O96" i="3" s="1"/>
  <c r="T96" i="3" l="1"/>
  <c r="V96" i="3" s="1"/>
  <c r="Y101" i="3"/>
  <c r="Z101" i="3" s="1"/>
  <c r="U96" i="3"/>
  <c r="Y96" i="3" l="1"/>
  <c r="N103" i="3"/>
  <c r="O103" i="3" s="1"/>
  <c r="P103" i="3"/>
  <c r="R103" i="3"/>
  <c r="Z96" i="3" l="1"/>
  <c r="T103" i="3"/>
  <c r="V103" i="3" s="1"/>
  <c r="U103" i="3"/>
  <c r="Y103" i="3" l="1"/>
  <c r="Z103" i="3" s="1"/>
  <c r="N91" i="3"/>
  <c r="O91" i="3" s="1"/>
  <c r="P91" i="3"/>
  <c r="U91" i="3" s="1"/>
  <c r="Q91" i="3"/>
  <c r="R91" i="3"/>
  <c r="N92" i="3"/>
  <c r="O92" i="3" s="1"/>
  <c r="P92" i="3"/>
  <c r="Q92" i="3"/>
  <c r="R92" i="3"/>
  <c r="N94" i="3"/>
  <c r="O94" i="3" s="1"/>
  <c r="P94" i="3"/>
  <c r="Q94" i="3"/>
  <c r="R94" i="3"/>
  <c r="N93" i="3"/>
  <c r="O93" i="3" s="1"/>
  <c r="P93" i="3"/>
  <c r="U93" i="3" s="1"/>
  <c r="Q93" i="3"/>
  <c r="R93" i="3"/>
  <c r="T92" i="3" l="1"/>
  <c r="V92" i="3" s="1"/>
  <c r="T91" i="3"/>
  <c r="V91" i="3" s="1"/>
  <c r="Y91" i="3" s="1"/>
  <c r="Z91" i="3" s="1"/>
  <c r="U92" i="3"/>
  <c r="T93" i="3"/>
  <c r="V93" i="3" s="1"/>
  <c r="Y93" i="3" s="1"/>
  <c r="Z93" i="3" s="1"/>
  <c r="T94" i="3"/>
  <c r="V94" i="3" s="1"/>
  <c r="U94" i="3"/>
  <c r="Y92" i="3" l="1"/>
  <c r="Z92" i="3" s="1"/>
  <c r="Y94" i="3"/>
  <c r="Z94" i="3" s="1"/>
  <c r="N84" i="3" l="1"/>
  <c r="O84" i="3" s="1"/>
  <c r="P84" i="3"/>
  <c r="U84" i="3" s="1"/>
  <c r="Q84" i="3"/>
  <c r="R84" i="3"/>
  <c r="N88" i="3"/>
  <c r="O88" i="3" s="1"/>
  <c r="P88" i="3"/>
  <c r="U88" i="3" s="1"/>
  <c r="Q88" i="3"/>
  <c r="R88" i="3"/>
  <c r="N87" i="3"/>
  <c r="O87" i="3" s="1"/>
  <c r="P87" i="3"/>
  <c r="U87" i="3" s="1"/>
  <c r="Q87" i="3"/>
  <c r="R87" i="3"/>
  <c r="N90" i="3"/>
  <c r="O90" i="3" s="1"/>
  <c r="P90" i="3"/>
  <c r="U90" i="3" s="1"/>
  <c r="Q90" i="3"/>
  <c r="R90" i="3"/>
  <c r="N85" i="3"/>
  <c r="O85" i="3" s="1"/>
  <c r="P85" i="3"/>
  <c r="U85" i="3" s="1"/>
  <c r="Q85" i="3"/>
  <c r="R85" i="3"/>
  <c r="T87" i="3" l="1"/>
  <c r="Y87" i="3" s="1"/>
  <c r="Z87" i="3" s="1"/>
  <c r="T84" i="3"/>
  <c r="Y84" i="3" s="1"/>
  <c r="Z84" i="3" s="1"/>
  <c r="T88" i="3"/>
  <c r="Y88" i="3" s="1"/>
  <c r="Z88" i="3" s="1"/>
  <c r="T85" i="3"/>
  <c r="V85" i="3" s="1"/>
  <c r="Y85" i="3" s="1"/>
  <c r="Z85" i="3" s="1"/>
  <c r="T90" i="3"/>
  <c r="Y90" i="3" s="1"/>
  <c r="Z90" i="3" s="1"/>
  <c r="N58" i="3"/>
  <c r="N83" i="3" l="1"/>
  <c r="O83" i="3" s="1"/>
  <c r="P83" i="3"/>
  <c r="Q83" i="3"/>
  <c r="R83" i="3"/>
  <c r="T83" i="3" l="1"/>
  <c r="U83" i="3"/>
  <c r="Y83" i="3" l="1"/>
  <c r="Z83" i="3" s="1"/>
  <c r="Y58" i="3"/>
  <c r="Y28" i="3"/>
  <c r="Y86" i="3"/>
  <c r="Y76" i="3"/>
  <c r="Y71" i="3"/>
  <c r="Y54" i="3"/>
  <c r="Y57" i="3"/>
  <c r="N79" i="3" l="1"/>
  <c r="O79" i="3" s="1"/>
  <c r="P79" i="3"/>
  <c r="Q79" i="3"/>
  <c r="R79" i="3"/>
  <c r="N81" i="3"/>
  <c r="O81" i="3" s="1"/>
  <c r="P81" i="3"/>
  <c r="Q81" i="3"/>
  <c r="R81" i="3"/>
  <c r="T79" i="3" l="1"/>
  <c r="T81" i="3"/>
  <c r="U81" i="3"/>
  <c r="U79" i="3"/>
  <c r="V81" i="3" l="1"/>
  <c r="Y81" i="3" s="1"/>
  <c r="Z81" i="3" s="1"/>
  <c r="Y79" i="3"/>
  <c r="Z79" i="3" s="1"/>
  <c r="N98" i="3"/>
  <c r="O98" i="3" s="1"/>
  <c r="P98" i="3"/>
  <c r="U98" i="3" s="1"/>
  <c r="Q98" i="3"/>
  <c r="R98" i="3"/>
  <c r="T98" i="3" l="1"/>
  <c r="V98" i="3" l="1"/>
  <c r="Y98" i="3" s="1"/>
  <c r="Z98" i="3" s="1"/>
  <c r="N97" i="3"/>
  <c r="O97" i="3" s="1"/>
  <c r="P97" i="3"/>
  <c r="U97" i="3" s="1"/>
  <c r="Q97" i="3"/>
  <c r="R97" i="3"/>
  <c r="N75" i="3"/>
  <c r="O75" i="3" s="1"/>
  <c r="P75" i="3"/>
  <c r="U75" i="3" s="1"/>
  <c r="Q75" i="3"/>
  <c r="R75" i="3"/>
  <c r="N71" i="3"/>
  <c r="O71" i="3" s="1"/>
  <c r="P71" i="3"/>
  <c r="Q71" i="3"/>
  <c r="R71" i="3"/>
  <c r="T97" i="3" l="1"/>
  <c r="T71" i="3"/>
  <c r="Z71" i="3" s="1"/>
  <c r="T75" i="3"/>
  <c r="V75" i="3" s="1"/>
  <c r="Y75" i="3" s="1"/>
  <c r="Z75" i="3" s="1"/>
  <c r="V97" i="3" l="1"/>
  <c r="Y97" i="3" s="1"/>
  <c r="Z97" i="3" s="1"/>
  <c r="N82" i="3"/>
  <c r="O82" i="3" s="1"/>
  <c r="P82" i="3"/>
  <c r="U82" i="3" s="1"/>
  <c r="Q82" i="3"/>
  <c r="R82" i="3"/>
  <c r="N61" i="3"/>
  <c r="O61" i="3" s="1"/>
  <c r="P61" i="3"/>
  <c r="U61" i="3" s="1"/>
  <c r="Q61" i="3"/>
  <c r="R61" i="3"/>
  <c r="N73" i="3"/>
  <c r="O73" i="3" s="1"/>
  <c r="P73" i="3"/>
  <c r="U73" i="3" s="1"/>
  <c r="Q73" i="3"/>
  <c r="R73" i="3"/>
  <c r="N69" i="3"/>
  <c r="O69" i="3" s="1"/>
  <c r="P69" i="3"/>
  <c r="Q69" i="3"/>
  <c r="R69" i="3"/>
  <c r="N68" i="3"/>
  <c r="O68" i="3" s="1"/>
  <c r="P68" i="3"/>
  <c r="U68" i="3" s="1"/>
  <c r="Q68" i="3"/>
  <c r="R68" i="3"/>
  <c r="N80" i="3"/>
  <c r="O80" i="3" s="1"/>
  <c r="P80" i="3"/>
  <c r="U80" i="3" s="1"/>
  <c r="Q80" i="3"/>
  <c r="R80" i="3"/>
  <c r="N66" i="3"/>
  <c r="O66" i="3" s="1"/>
  <c r="P66" i="3"/>
  <c r="U66" i="3" s="1"/>
  <c r="Q66" i="3"/>
  <c r="R66" i="3"/>
  <c r="N65" i="3"/>
  <c r="O65" i="3" s="1"/>
  <c r="P65" i="3"/>
  <c r="U65" i="3" s="1"/>
  <c r="Q65" i="3"/>
  <c r="R65" i="3"/>
  <c r="N67" i="3"/>
  <c r="O67" i="3" s="1"/>
  <c r="P67" i="3"/>
  <c r="U67" i="3" s="1"/>
  <c r="Q67" i="3"/>
  <c r="R67" i="3"/>
  <c r="N62" i="3"/>
  <c r="O62" i="3" s="1"/>
  <c r="P62" i="3"/>
  <c r="U62" i="3" s="1"/>
  <c r="Q62" i="3"/>
  <c r="R62" i="3"/>
  <c r="N64" i="3"/>
  <c r="O64" i="3" s="1"/>
  <c r="P64" i="3"/>
  <c r="U64" i="3" s="1"/>
  <c r="Q64" i="3"/>
  <c r="R64" i="3"/>
  <c r="N74" i="3"/>
  <c r="O74" i="3" s="1"/>
  <c r="P74" i="3"/>
  <c r="Q74" i="3"/>
  <c r="R74" i="3"/>
  <c r="N63" i="3"/>
  <c r="O63" i="3" s="1"/>
  <c r="P63" i="3"/>
  <c r="U63" i="3" s="1"/>
  <c r="Q63" i="3"/>
  <c r="R63" i="3"/>
  <c r="T82" i="3" l="1"/>
  <c r="T68" i="3"/>
  <c r="T73" i="3"/>
  <c r="T74" i="3"/>
  <c r="T65" i="3"/>
  <c r="T69" i="3"/>
  <c r="U69" i="3"/>
  <c r="U74" i="3"/>
  <c r="T62" i="3"/>
  <c r="T80" i="3"/>
  <c r="T61" i="3"/>
  <c r="T66" i="3"/>
  <c r="T63" i="3"/>
  <c r="T64" i="3"/>
  <c r="T67" i="3"/>
  <c r="V80" i="3" l="1"/>
  <c r="Y80" i="3" s="1"/>
  <c r="Z80" i="3" s="1"/>
  <c r="V67" i="3"/>
  <c r="Y67" i="3" s="1"/>
  <c r="Z67" i="3" s="1"/>
  <c r="Y73" i="3"/>
  <c r="Z73" i="3" s="1"/>
  <c r="V63" i="3"/>
  <c r="Y63" i="3" s="1"/>
  <c r="Z63" i="3" s="1"/>
  <c r="Y82" i="3"/>
  <c r="Z82" i="3" s="1"/>
  <c r="V64" i="3"/>
  <c r="Y64" i="3" s="1"/>
  <c r="Z64" i="3" s="1"/>
  <c r="V65" i="3"/>
  <c r="Y65" i="3" s="1"/>
  <c r="Z65" i="3" s="1"/>
  <c r="V74" i="3"/>
  <c r="Y74" i="3" s="1"/>
  <c r="Z74" i="3" s="1"/>
  <c r="Y69" i="3"/>
  <c r="Z69" i="3" s="1"/>
  <c r="Y68" i="3"/>
  <c r="Z68" i="3" s="1"/>
  <c r="V66" i="3"/>
  <c r="Y66" i="3" s="1"/>
  <c r="Z66" i="3" s="1"/>
  <c r="Y61" i="3"/>
  <c r="Z61" i="3" s="1"/>
  <c r="Y62" i="3"/>
  <c r="Z62" i="3" s="1"/>
  <c r="N16" i="3"/>
  <c r="O16" i="3" s="1"/>
  <c r="P16" i="3"/>
  <c r="U16" i="3" s="1"/>
  <c r="Q16" i="3"/>
  <c r="R16" i="3"/>
  <c r="T16" i="3" l="1"/>
  <c r="V16" i="3" l="1"/>
  <c r="Y16" i="3" s="1"/>
  <c r="Z16" i="3" s="1"/>
  <c r="P78" i="3" l="1"/>
  <c r="Q78" i="3"/>
  <c r="R78" i="3"/>
  <c r="P77" i="3"/>
  <c r="Q77" i="3"/>
  <c r="R77" i="3"/>
  <c r="P18" i="3"/>
  <c r="Q18" i="3"/>
  <c r="R18" i="3"/>
  <c r="P19" i="3"/>
  <c r="Q19" i="3"/>
  <c r="R19" i="3"/>
  <c r="P17" i="3"/>
  <c r="Q17" i="3"/>
  <c r="R17" i="3"/>
  <c r="N78" i="3"/>
  <c r="O78" i="3" s="1"/>
  <c r="O77" i="3"/>
  <c r="N18" i="3"/>
  <c r="O18" i="3" s="1"/>
  <c r="N19" i="3"/>
  <c r="O19" i="3" s="1"/>
  <c r="N17" i="3"/>
  <c r="O17" i="3" s="1"/>
  <c r="T77" i="3" l="1"/>
  <c r="U77" i="3"/>
  <c r="T19" i="3"/>
  <c r="T17" i="3"/>
  <c r="T18" i="3"/>
  <c r="T78" i="3"/>
  <c r="U19" i="3"/>
  <c r="U17" i="3"/>
  <c r="U78" i="3"/>
  <c r="U18" i="3"/>
  <c r="Y19" i="3" l="1"/>
  <c r="Z19" i="3" s="1"/>
  <c r="Y17" i="3"/>
  <c r="Z17" i="3" s="1"/>
  <c r="V18" i="3"/>
  <c r="Y18" i="3" s="1"/>
  <c r="Z18" i="3" s="1"/>
  <c r="Y77" i="3"/>
  <c r="Z77" i="3" s="1"/>
  <c r="V78" i="3"/>
  <c r="Y78" i="3" s="1"/>
  <c r="Z78" i="3" s="1"/>
  <c r="U20" i="3"/>
  <c r="Y20" i="3" s="1"/>
  <c r="P60" i="3"/>
  <c r="Q60" i="3"/>
  <c r="R60" i="3"/>
  <c r="P20" i="3"/>
  <c r="Q20" i="3"/>
  <c r="R20" i="3"/>
  <c r="N60" i="3"/>
  <c r="O60" i="3" s="1"/>
  <c r="N20" i="3"/>
  <c r="O20" i="3" s="1"/>
  <c r="T60" i="3" l="1"/>
  <c r="U60" i="3"/>
  <c r="T20" i="3"/>
  <c r="Z20" i="3" s="1"/>
  <c r="Y60" i="3" l="1"/>
  <c r="Z60" i="3" s="1"/>
  <c r="U59" i="3"/>
  <c r="Y59" i="3" s="1"/>
  <c r="R59" i="3"/>
  <c r="Q59" i="3"/>
  <c r="P59" i="3"/>
  <c r="N59" i="3"/>
  <c r="O59" i="3" s="1"/>
  <c r="R76" i="3"/>
  <c r="Q76" i="3"/>
  <c r="P76" i="3"/>
  <c r="N76" i="3"/>
  <c r="O76" i="3" s="1"/>
  <c r="R86" i="3"/>
  <c r="Q86" i="3"/>
  <c r="P86" i="3"/>
  <c r="N86" i="3"/>
  <c r="O86" i="3" s="1"/>
  <c r="R70" i="3"/>
  <c r="Q70" i="3"/>
  <c r="P70" i="3"/>
  <c r="U70" i="3" s="1"/>
  <c r="N70" i="3"/>
  <c r="O70" i="3" s="1"/>
  <c r="R99" i="3"/>
  <c r="Q99" i="3"/>
  <c r="P99" i="3"/>
  <c r="N99" i="3"/>
  <c r="O99" i="3" s="1"/>
  <c r="R89" i="3"/>
  <c r="Q89" i="3"/>
  <c r="P89" i="3"/>
  <c r="U89" i="3" s="1"/>
  <c r="N89" i="3"/>
  <c r="O89" i="3" s="1"/>
  <c r="U21" i="3"/>
  <c r="Y21" i="3" s="1"/>
  <c r="R21" i="3"/>
  <c r="Q21" i="3"/>
  <c r="P21" i="3"/>
  <c r="N21" i="3"/>
  <c r="O21" i="3" s="1"/>
  <c r="R23" i="3"/>
  <c r="Q23" i="3"/>
  <c r="P23" i="3"/>
  <c r="U23" i="3" s="1"/>
  <c r="Y23" i="3" s="1"/>
  <c r="N23" i="3"/>
  <c r="O23" i="3" s="1"/>
  <c r="R22" i="3"/>
  <c r="Q22" i="3"/>
  <c r="P22" i="3"/>
  <c r="N22" i="3"/>
  <c r="O22" i="3" s="1"/>
  <c r="R25" i="3"/>
  <c r="Q25" i="3"/>
  <c r="P25" i="3"/>
  <c r="U25" i="3" s="1"/>
  <c r="N25" i="3"/>
  <c r="O25" i="3" s="1"/>
  <c r="R24" i="3"/>
  <c r="Q24" i="3"/>
  <c r="P24" i="3"/>
  <c r="U24" i="3" s="1"/>
  <c r="N24" i="3"/>
  <c r="O24" i="3" s="1"/>
  <c r="R26" i="3"/>
  <c r="Q26" i="3"/>
  <c r="P26" i="3"/>
  <c r="U26" i="3" s="1"/>
  <c r="Y26" i="3" s="1"/>
  <c r="N26" i="3"/>
  <c r="O26" i="3" s="1"/>
  <c r="R27" i="3"/>
  <c r="Q27" i="3"/>
  <c r="P27" i="3"/>
  <c r="N27" i="3"/>
  <c r="O27" i="3" s="1"/>
  <c r="R29" i="3"/>
  <c r="Q29" i="3"/>
  <c r="P29" i="3"/>
  <c r="U29" i="3" s="1"/>
  <c r="N29" i="3"/>
  <c r="O29" i="3" s="1"/>
  <c r="R28" i="3"/>
  <c r="Q28" i="3"/>
  <c r="P28" i="3"/>
  <c r="N28" i="3"/>
  <c r="O28" i="3" s="1"/>
  <c r="R56" i="3"/>
  <c r="Q56" i="3"/>
  <c r="P56" i="3"/>
  <c r="N56" i="3"/>
  <c r="O56" i="3" s="1"/>
  <c r="R32" i="3"/>
  <c r="Q32" i="3"/>
  <c r="P32" i="3"/>
  <c r="U32" i="3" s="1"/>
  <c r="N32" i="3"/>
  <c r="O32" i="3" s="1"/>
  <c r="R30" i="3"/>
  <c r="Q30" i="3"/>
  <c r="P30" i="3"/>
  <c r="U30" i="3" s="1"/>
  <c r="N30" i="3"/>
  <c r="O30" i="3" s="1"/>
  <c r="R31" i="3"/>
  <c r="Q31" i="3"/>
  <c r="P31" i="3"/>
  <c r="U31" i="3" s="1"/>
  <c r="N31" i="3"/>
  <c r="O31" i="3" s="1"/>
  <c r="R100" i="3"/>
  <c r="Q100" i="3"/>
  <c r="P100" i="3"/>
  <c r="U100" i="3" s="1"/>
  <c r="N100" i="3"/>
  <c r="O100" i="3" s="1"/>
  <c r="R33" i="3"/>
  <c r="Q33" i="3"/>
  <c r="P33" i="3"/>
  <c r="U33" i="3" s="1"/>
  <c r="N33" i="3"/>
  <c r="O33" i="3" s="1"/>
  <c r="R34" i="3"/>
  <c r="Q34" i="3"/>
  <c r="P34" i="3"/>
  <c r="U34" i="3" s="1"/>
  <c r="Y34" i="3" s="1"/>
  <c r="N34" i="3"/>
  <c r="O34" i="3" s="1"/>
  <c r="R35" i="3"/>
  <c r="Q35" i="3"/>
  <c r="P35" i="3"/>
  <c r="U35" i="3" s="1"/>
  <c r="N35" i="3"/>
  <c r="O35" i="3" s="1"/>
  <c r="R36" i="3"/>
  <c r="Q36" i="3"/>
  <c r="P36" i="3"/>
  <c r="U36" i="3" s="1"/>
  <c r="N36" i="3"/>
  <c r="O36" i="3" s="1"/>
  <c r="U37" i="3"/>
  <c r="Y37" i="3" s="1"/>
  <c r="R37" i="3"/>
  <c r="Q37" i="3"/>
  <c r="P37" i="3"/>
  <c r="N37" i="3"/>
  <c r="O37" i="3" s="1"/>
  <c r="U38" i="3"/>
  <c r="Y38" i="3" s="1"/>
  <c r="R38" i="3"/>
  <c r="Q38" i="3"/>
  <c r="P38" i="3"/>
  <c r="N38" i="3"/>
  <c r="O38" i="3" s="1"/>
  <c r="R39" i="3"/>
  <c r="Q39" i="3"/>
  <c r="P39" i="3"/>
  <c r="N39" i="3"/>
  <c r="O39" i="3" s="1"/>
  <c r="R41" i="3"/>
  <c r="Q41" i="3"/>
  <c r="P41" i="3"/>
  <c r="U41" i="3" s="1"/>
  <c r="Y41" i="3" s="1"/>
  <c r="N41" i="3"/>
  <c r="O41" i="3" s="1"/>
  <c r="R40" i="3"/>
  <c r="Q40" i="3"/>
  <c r="P40" i="3"/>
  <c r="U40" i="3" s="1"/>
  <c r="Y40" i="3" s="1"/>
  <c r="N40" i="3"/>
  <c r="O40" i="3" s="1"/>
  <c r="R95" i="3"/>
  <c r="Q95" i="3"/>
  <c r="P95" i="3"/>
  <c r="U95" i="3" s="1"/>
  <c r="N95" i="3"/>
  <c r="O95" i="3" s="1"/>
  <c r="R42" i="3"/>
  <c r="Q42" i="3"/>
  <c r="P42" i="3"/>
  <c r="U42" i="3" s="1"/>
  <c r="Y42" i="3" s="1"/>
  <c r="N42" i="3"/>
  <c r="O42" i="3" s="1"/>
  <c r="R43" i="3"/>
  <c r="Q43" i="3"/>
  <c r="P43" i="3"/>
  <c r="U43" i="3" s="1"/>
  <c r="Y43" i="3" s="1"/>
  <c r="N43" i="3"/>
  <c r="O43" i="3" s="1"/>
  <c r="U44" i="3"/>
  <c r="Y44" i="3" s="1"/>
  <c r="R44" i="3"/>
  <c r="Q44" i="3"/>
  <c r="P44" i="3"/>
  <c r="N44" i="3"/>
  <c r="O44" i="3" s="1"/>
  <c r="R45" i="3"/>
  <c r="Q45" i="3"/>
  <c r="P45" i="3"/>
  <c r="N45" i="3"/>
  <c r="O45" i="3" s="1"/>
  <c r="R58" i="3"/>
  <c r="Q58" i="3"/>
  <c r="P58" i="3"/>
  <c r="O58" i="3"/>
  <c r="R48" i="3"/>
  <c r="Q48" i="3"/>
  <c r="P48" i="3"/>
  <c r="U48" i="3" s="1"/>
  <c r="Y48" i="3" s="1"/>
  <c r="N48" i="3"/>
  <c r="O48" i="3" s="1"/>
  <c r="R47" i="3"/>
  <c r="Q47" i="3"/>
  <c r="P47" i="3"/>
  <c r="U47" i="3" s="1"/>
  <c r="Y47" i="3" s="1"/>
  <c r="N47" i="3"/>
  <c r="O47" i="3" s="1"/>
  <c r="U46" i="3"/>
  <c r="Y46" i="3" s="1"/>
  <c r="R46" i="3"/>
  <c r="Q46" i="3"/>
  <c r="P46" i="3"/>
  <c r="N46" i="3"/>
  <c r="O46" i="3" s="1"/>
  <c r="R49" i="3"/>
  <c r="Q49" i="3"/>
  <c r="P49" i="3"/>
  <c r="U49" i="3" s="1"/>
  <c r="Y49" i="3" s="1"/>
  <c r="N49" i="3"/>
  <c r="O49" i="3" s="1"/>
  <c r="U50" i="3"/>
  <c r="Y50" i="3" s="1"/>
  <c r="R50" i="3"/>
  <c r="Q50" i="3"/>
  <c r="P50" i="3"/>
  <c r="N50" i="3"/>
  <c r="O50" i="3" s="1"/>
  <c r="R55" i="3"/>
  <c r="Q55" i="3"/>
  <c r="P55" i="3"/>
  <c r="U55" i="3" s="1"/>
  <c r="N55" i="3"/>
  <c r="O55" i="3" s="1"/>
  <c r="U52" i="3"/>
  <c r="Y52" i="3" s="1"/>
  <c r="R52" i="3"/>
  <c r="Q52" i="3"/>
  <c r="P52" i="3"/>
  <c r="N52" i="3"/>
  <c r="O52" i="3" s="1"/>
  <c r="U51" i="3"/>
  <c r="Y51" i="3" s="1"/>
  <c r="R51" i="3"/>
  <c r="Q51" i="3"/>
  <c r="P51" i="3"/>
  <c r="N51" i="3"/>
  <c r="O51" i="3" s="1"/>
  <c r="U53" i="3"/>
  <c r="R53" i="3"/>
  <c r="Q53" i="3"/>
  <c r="P53" i="3"/>
  <c r="N53" i="3"/>
  <c r="O53" i="3" s="1"/>
  <c r="R57" i="3"/>
  <c r="Q57" i="3"/>
  <c r="P57" i="3"/>
  <c r="N57" i="3"/>
  <c r="O57" i="3" s="1"/>
  <c r="R54" i="3"/>
  <c r="Q54" i="3"/>
  <c r="P54" i="3"/>
  <c r="N54" i="3"/>
  <c r="O54" i="3" s="1"/>
  <c r="Y53" i="3" l="1"/>
  <c r="U56" i="3"/>
  <c r="Y56" i="3" s="1"/>
  <c r="T76" i="3"/>
  <c r="Z76" i="3" s="1"/>
  <c r="T27" i="3"/>
  <c r="T55" i="3"/>
  <c r="T89" i="3"/>
  <c r="Y89" i="3" s="1"/>
  <c r="Z89" i="3" s="1"/>
  <c r="U27" i="3"/>
  <c r="T33" i="3"/>
  <c r="T100" i="3"/>
  <c r="T30" i="3"/>
  <c r="T46" i="3"/>
  <c r="Z46" i="3" s="1"/>
  <c r="T40" i="3"/>
  <c r="Z40" i="3" s="1"/>
  <c r="T32" i="3"/>
  <c r="T23" i="3"/>
  <c r="Z23" i="3" s="1"/>
  <c r="T37" i="3"/>
  <c r="Z37" i="3" s="1"/>
  <c r="T49" i="3"/>
  <c r="Z49" i="3" s="1"/>
  <c r="T36" i="3"/>
  <c r="T70" i="3"/>
  <c r="T54" i="3"/>
  <c r="T38" i="3"/>
  <c r="Z38" i="3" s="1"/>
  <c r="T28" i="3"/>
  <c r="Z28" i="3" s="1"/>
  <c r="T99" i="3"/>
  <c r="T47" i="3"/>
  <c r="Z47" i="3" s="1"/>
  <c r="T48" i="3"/>
  <c r="Z48" i="3" s="1"/>
  <c r="T31" i="3"/>
  <c r="T29" i="3"/>
  <c r="T24" i="3"/>
  <c r="T25" i="3"/>
  <c r="T22" i="3"/>
  <c r="T95" i="3"/>
  <c r="T35" i="3"/>
  <c r="T34" i="3"/>
  <c r="Z34" i="3" s="1"/>
  <c r="T26" i="3"/>
  <c r="Z26" i="3" s="1"/>
  <c r="T52" i="3"/>
  <c r="Z52" i="3" s="1"/>
  <c r="T50" i="3"/>
  <c r="Z50" i="3" s="1"/>
  <c r="T43" i="3"/>
  <c r="Z43" i="3" s="1"/>
  <c r="T42" i="3"/>
  <c r="Z42" i="3" s="1"/>
  <c r="U22" i="3"/>
  <c r="T51" i="3"/>
  <c r="Z51" i="3" s="1"/>
  <c r="T58" i="3"/>
  <c r="Z58" i="3" s="1"/>
  <c r="T21" i="3"/>
  <c r="Z21" i="3" s="1"/>
  <c r="T44" i="3"/>
  <c r="Z44" i="3" s="1"/>
  <c r="T56" i="3"/>
  <c r="T39" i="3"/>
  <c r="U39" i="3"/>
  <c r="Y39" i="3" s="1"/>
  <c r="U45" i="3"/>
  <c r="T45" i="3"/>
  <c r="T57" i="3"/>
  <c r="Z57" i="3" s="1"/>
  <c r="T86" i="3"/>
  <c r="Z86" i="3" s="1"/>
  <c r="T59" i="3"/>
  <c r="Z59" i="3" s="1"/>
  <c r="T53" i="3"/>
  <c r="T41" i="3"/>
  <c r="Z41" i="3" s="1"/>
  <c r="U99" i="3"/>
  <c r="Z53" i="3" l="1"/>
  <c r="Z54" i="3"/>
  <c r="V99" i="3"/>
  <c r="Y99" i="3" s="1"/>
  <c r="Z99" i="3" s="1"/>
  <c r="Z39" i="3"/>
  <c r="Z56" i="3"/>
  <c r="Y95" i="3"/>
  <c r="Z95" i="3" s="1"/>
  <c r="Y29" i="3"/>
  <c r="Z29" i="3" s="1"/>
  <c r="V31" i="3"/>
  <c r="Y31" i="3" s="1"/>
  <c r="Z31" i="3" s="1"/>
  <c r="Y35" i="3"/>
  <c r="V100" i="3"/>
  <c r="Y27" i="3"/>
  <c r="Z27" i="3" s="1"/>
  <c r="Y22" i="3"/>
  <c r="Z22" i="3" s="1"/>
  <c r="Y70" i="3"/>
  <c r="Z70" i="3" s="1"/>
  <c r="Y33" i="3"/>
  <c r="Z33" i="3" s="1"/>
  <c r="Y24" i="3"/>
  <c r="Z24" i="3" s="1"/>
  <c r="Y36" i="3"/>
  <c r="Z36" i="3" s="1"/>
  <c r="Y30" i="3"/>
  <c r="Z30" i="3" s="1"/>
  <c r="Y32" i="3"/>
  <c r="Z32" i="3" s="1"/>
  <c r="Y25" i="3"/>
  <c r="Z25" i="3" s="1"/>
  <c r="Y45" i="3"/>
  <c r="Z45" i="3" s="1"/>
  <c r="V114" i="3" l="1"/>
  <c r="Z35" i="3"/>
  <c r="Y100" i="3"/>
  <c r="Y55" i="3"/>
  <c r="R72" i="3"/>
  <c r="R114" i="3" s="1"/>
  <c r="P72" i="3"/>
  <c r="P114" i="3" s="1"/>
  <c r="Q72" i="3"/>
  <c r="Q114" i="3" s="1"/>
  <c r="N72" i="3"/>
  <c r="O72" i="3" s="1"/>
  <c r="O114" i="3" s="1"/>
  <c r="U72" i="3"/>
  <c r="U114" i="3" s="1"/>
  <c r="Z100" i="3" l="1"/>
  <c r="Y72" i="3"/>
  <c r="Y114" i="3" s="1"/>
  <c r="Z55" i="3"/>
  <c r="T72" i="3"/>
  <c r="T114" i="3" s="1"/>
  <c r="Z72" i="3" l="1"/>
  <c r="Z114" i="3" s="1"/>
  <c r="A69" i="3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</calcChain>
</file>

<file path=xl/comments1.xml><?xml version="1.0" encoding="utf-8"?>
<comments xmlns="http://schemas.openxmlformats.org/spreadsheetml/2006/main">
  <authors>
    <author>Admin</author>
    <author>Vikas</author>
  </authors>
  <commentList>
    <comment ref="Z4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as he was absent whole month due to health issue now salary issued by adjsuting his bal. leave
</t>
        </r>
      </text>
    </comment>
    <comment ref="V106" authorId="1" shapeId="0">
      <text>
        <r>
          <rPr>
            <b/>
            <sz val="9"/>
            <color indexed="81"/>
            <rFont val="Tahoma"/>
            <family val="2"/>
          </rPr>
          <t>Vikas:</t>
        </r>
        <r>
          <rPr>
            <sz val="9"/>
            <color indexed="81"/>
            <rFont val="Tahoma"/>
            <family val="2"/>
          </rPr>
          <t xml:space="preserve">
Need to extra pay 96 in april salary</t>
        </r>
      </text>
    </comment>
  </commentList>
</comments>
</file>

<file path=xl/sharedStrings.xml><?xml version="1.0" encoding="utf-8"?>
<sst xmlns="http://schemas.openxmlformats.org/spreadsheetml/2006/main" count="447" uniqueCount="355">
  <si>
    <t>DAYS</t>
  </si>
  <si>
    <t xml:space="preserve">Sl. </t>
  </si>
  <si>
    <t>UAN</t>
  </si>
  <si>
    <t>IP NO.</t>
  </si>
  <si>
    <t>Emp. Name</t>
  </si>
  <si>
    <t>PAN</t>
  </si>
  <si>
    <t>DOB</t>
  </si>
  <si>
    <t>Emp.</t>
  </si>
  <si>
    <t>Total</t>
  </si>
  <si>
    <t>Basic</t>
  </si>
  <si>
    <t>H.R.A.</t>
  </si>
  <si>
    <t>Conv.</t>
  </si>
  <si>
    <t>INCENTIVE</t>
  </si>
  <si>
    <t>DEDUCTIONS</t>
  </si>
  <si>
    <t>TOT.</t>
  </si>
  <si>
    <t xml:space="preserve">Net </t>
  </si>
  <si>
    <t>No.</t>
  </si>
  <si>
    <t>Code</t>
  </si>
  <si>
    <t>Days</t>
  </si>
  <si>
    <t>Salary</t>
  </si>
  <si>
    <t>Amt.</t>
  </si>
  <si>
    <t>P.F.</t>
  </si>
  <si>
    <t>E.S.I.</t>
  </si>
  <si>
    <t>Adv</t>
  </si>
  <si>
    <t>T.D.S.</t>
  </si>
  <si>
    <t>Ded.</t>
  </si>
  <si>
    <t>Payable</t>
  </si>
  <si>
    <t>N/A</t>
  </si>
  <si>
    <t>01.01.2000</t>
  </si>
  <si>
    <t>ABHISHEK YADAV</t>
  </si>
  <si>
    <t xml:space="preserve">       ORIGINATOR INFOMATICS PVT LTD</t>
  </si>
  <si>
    <t>05.03.1996</t>
  </si>
  <si>
    <t>VIKESH SINGH</t>
  </si>
  <si>
    <t>EXXPS7342D</t>
  </si>
  <si>
    <t>19.11.1991</t>
  </si>
  <si>
    <t>VIVEKANAND SINGH</t>
  </si>
  <si>
    <t>CSBPS7640K</t>
  </si>
  <si>
    <t>15.06.1987</t>
  </si>
  <si>
    <t>ANAND SINGH</t>
  </si>
  <si>
    <t>KKCPS0902P</t>
  </si>
  <si>
    <t>RUBI SINGH</t>
  </si>
  <si>
    <t>IKYPS4774K</t>
  </si>
  <si>
    <t>01.01.1991</t>
  </si>
  <si>
    <t>SHIVANSHU SINGH</t>
  </si>
  <si>
    <t>KINPS8184Q</t>
  </si>
  <si>
    <t>20.04.1999</t>
  </si>
  <si>
    <t>SATYAM YADAV</t>
  </si>
  <si>
    <t>ASZPY4631N</t>
  </si>
  <si>
    <t>12.12.1998</t>
  </si>
  <si>
    <t>ASHEESH KUMAR SINGH</t>
  </si>
  <si>
    <t>GXVPS0381G</t>
  </si>
  <si>
    <t>07.07.1992</t>
  </si>
  <si>
    <t>PAWAN TIWARI</t>
  </si>
  <si>
    <t>CASPT9349F</t>
  </si>
  <si>
    <t>11.01.1998</t>
  </si>
  <si>
    <t>PRADHUMN UPADHYAY</t>
  </si>
  <si>
    <t>AHYPU4902C</t>
  </si>
  <si>
    <t>15.10.1999</t>
  </si>
  <si>
    <t>TEJASAV JAISWAL</t>
  </si>
  <si>
    <t>BKOPJ7386P</t>
  </si>
  <si>
    <t>18.03.1999</t>
  </si>
  <si>
    <t>HARSH SINGH</t>
  </si>
  <si>
    <t>LWTPS5451B</t>
  </si>
  <si>
    <t>20.08.2000</t>
  </si>
  <si>
    <t xml:space="preserve">VIVEK PANDAY </t>
  </si>
  <si>
    <t>FSAPP5810E</t>
  </si>
  <si>
    <t xml:space="preserve">JANHAVI SINGH </t>
  </si>
  <si>
    <t>QHLPS3028G</t>
  </si>
  <si>
    <t>28.05.1999</t>
  </si>
  <si>
    <t xml:space="preserve">SUNIL KUMAR </t>
  </si>
  <si>
    <t>AVAPK1958N</t>
  </si>
  <si>
    <t>14.07.1976</t>
  </si>
  <si>
    <t>RITESH SINGH</t>
  </si>
  <si>
    <t>BWGPS8132N</t>
  </si>
  <si>
    <t>01.08.1983</t>
  </si>
  <si>
    <t>AKASH SHARMA</t>
  </si>
  <si>
    <t>KRZPS1192H</t>
  </si>
  <si>
    <t>17.06.1998</t>
  </si>
  <si>
    <t>SAURABH KESARVANI</t>
  </si>
  <si>
    <t>CHAPK3786Q</t>
  </si>
  <si>
    <t>30.08.1993</t>
  </si>
  <si>
    <t>GARIMA KESHARI</t>
  </si>
  <si>
    <t>FHOPK4524B</t>
  </si>
  <si>
    <t>02.10.1998</t>
  </si>
  <si>
    <t>VISHAL CHAURASIYA</t>
  </si>
  <si>
    <t>CNKPC5172N</t>
  </si>
  <si>
    <t>16.10.2002</t>
  </si>
  <si>
    <t>HEMRAJ</t>
  </si>
  <si>
    <t>ALEPH3845B</t>
  </si>
  <si>
    <t>22.06.1970</t>
  </si>
  <si>
    <t xml:space="preserve">SHUBHAM SINGH </t>
  </si>
  <si>
    <t>GHHPS7551A</t>
  </si>
  <si>
    <t>14.07.1997</t>
  </si>
  <si>
    <t>KUMAR PIYUSH</t>
  </si>
  <si>
    <t>BIEPP0127N</t>
  </si>
  <si>
    <t>04.07.1986</t>
  </si>
  <si>
    <t>RAHUL KUMAR RAGHUVANSHI</t>
  </si>
  <si>
    <t>BNIPR1342G</t>
  </si>
  <si>
    <t>06.07.1990</t>
  </si>
  <si>
    <t>SUNIL KUMAR</t>
  </si>
  <si>
    <t>CVZPK3985Q</t>
  </si>
  <si>
    <t>25.08.1991</t>
  </si>
  <si>
    <t>AMAR DEEP</t>
  </si>
  <si>
    <t>DOVPD6632H</t>
  </si>
  <si>
    <t>24.09.1998</t>
  </si>
  <si>
    <t>PUSPANJALI BISWAL</t>
  </si>
  <si>
    <t>EPJPB7620M</t>
  </si>
  <si>
    <t>01.01.1984</t>
  </si>
  <si>
    <t>SHREYA SINGH</t>
  </si>
  <si>
    <t>PBJPS3631G</t>
  </si>
  <si>
    <t>21.12.2002</t>
  </si>
  <si>
    <t>NIDHI YADAV</t>
  </si>
  <si>
    <t>BRIPY9507Q</t>
  </si>
  <si>
    <t>17.12.2003</t>
  </si>
  <si>
    <t>SHUBHAM GUPTA</t>
  </si>
  <si>
    <t>16.06.2000</t>
  </si>
  <si>
    <t>BMTPY3314D</t>
  </si>
  <si>
    <t>20.04.2004</t>
  </si>
  <si>
    <t>ARAJOO KHARWAR</t>
  </si>
  <si>
    <t>OIBPK7313B</t>
  </si>
  <si>
    <t>15.07.2004</t>
  </si>
  <si>
    <t>ANURAG SINGH</t>
  </si>
  <si>
    <t>QUXPS1792A</t>
  </si>
  <si>
    <t>17.11.2001</t>
  </si>
  <si>
    <t>ANIKET SINGH</t>
  </si>
  <si>
    <t>09.01.2002</t>
  </si>
  <si>
    <t>SANIDHY TIWARI</t>
  </si>
  <si>
    <t>CIOPT1633C</t>
  </si>
  <si>
    <t>08.11.2001</t>
  </si>
  <si>
    <t>ABHAY KUMAR BHARATI</t>
  </si>
  <si>
    <t>DHTPB3594P</t>
  </si>
  <si>
    <t>08.10.1995</t>
  </si>
  <si>
    <t>VIKAS KUMAR</t>
  </si>
  <si>
    <t>JKUPK7967P</t>
  </si>
  <si>
    <t>10.12.2001</t>
  </si>
  <si>
    <t>SHARIQ KHAN</t>
  </si>
  <si>
    <t>CLVPK2926D</t>
  </si>
  <si>
    <t>27.11.1989</t>
  </si>
  <si>
    <t>KAILASH SINGH</t>
  </si>
  <si>
    <t>EIAPS9835R</t>
  </si>
  <si>
    <t>29.12.1990</t>
  </si>
  <si>
    <t>TARANI SEN JENA</t>
  </si>
  <si>
    <t>CGDPJ9063R</t>
  </si>
  <si>
    <t>01.06.1980</t>
  </si>
  <si>
    <t>MANMOHAN KUMAR</t>
  </si>
  <si>
    <t>JZBPK1351M</t>
  </si>
  <si>
    <t>15.09.2002</t>
  </si>
  <si>
    <t>TEJASWINI RISHIVANSHI</t>
  </si>
  <si>
    <t>FNJPR0416Q</t>
  </si>
  <si>
    <t>19.07.2002</t>
  </si>
  <si>
    <t>ARUDHI SINGH</t>
  </si>
  <si>
    <t>MJIPS3693E</t>
  </si>
  <si>
    <t>17.09.2000</t>
  </si>
  <si>
    <t>VIRAT SINGH</t>
  </si>
  <si>
    <t>IXCPS5887L</t>
  </si>
  <si>
    <t>21.10.1998</t>
  </si>
  <si>
    <t>VAIBHAV RAGHUVANSHI</t>
  </si>
  <si>
    <t>CHAPR0812A</t>
  </si>
  <si>
    <t>10.07.1997</t>
  </si>
  <si>
    <t>SOURABH KUMAR SINGH</t>
  </si>
  <si>
    <t>EGSPS4940H</t>
  </si>
  <si>
    <t>10.07.1992</t>
  </si>
  <si>
    <t>MOHAMMAD FAIZAN KHAN</t>
  </si>
  <si>
    <t>DDQPK8674C</t>
  </si>
  <si>
    <t>20.10.1994</t>
  </si>
  <si>
    <t>ANJALI SINHA</t>
  </si>
  <si>
    <t>HOCPS6581B</t>
  </si>
  <si>
    <t>03.09.1998</t>
  </si>
  <si>
    <t>VINAI KUMAR SINGH</t>
  </si>
  <si>
    <t>GKGPS0780H</t>
  </si>
  <si>
    <t>22.07.1990</t>
  </si>
  <si>
    <t>NITIN SHARMA</t>
  </si>
  <si>
    <t>PRATIMA PATEL</t>
  </si>
  <si>
    <t xml:space="preserve">SUNIL KUMAR SINGH </t>
  </si>
  <si>
    <t>SASPS6934R</t>
  </si>
  <si>
    <t>HZFPP3295H</t>
  </si>
  <si>
    <t>BNMPK7835D</t>
  </si>
  <si>
    <t>02.03.2001</t>
  </si>
  <si>
    <t>28.12.2002</t>
  </si>
  <si>
    <t>20.07.1987</t>
  </si>
  <si>
    <t>BVB</t>
  </si>
  <si>
    <t>COMPANY</t>
  </si>
  <si>
    <t>SHRI KANT YADAV</t>
  </si>
  <si>
    <t>ADYPY6138L</t>
  </si>
  <si>
    <t>15.10.1982</t>
  </si>
  <si>
    <t>UTTAM KUMAR</t>
  </si>
  <si>
    <t>MKLPK4671E</t>
  </si>
  <si>
    <t>07.10.2002</t>
  </si>
  <si>
    <t>KHUSHI GUPTA</t>
  </si>
  <si>
    <t>SUSHREE RADHIKA NAYAK</t>
  </si>
  <si>
    <t>SUNIL KESHARI</t>
  </si>
  <si>
    <t>DOVPG7375N</t>
  </si>
  <si>
    <t>BXBPN5200J</t>
  </si>
  <si>
    <t>HLJPK9782G</t>
  </si>
  <si>
    <t>10.09.2002</t>
  </si>
  <si>
    <t>15.03.1999</t>
  </si>
  <si>
    <t>27.09.1998</t>
  </si>
  <si>
    <t>PBOPS4580M</t>
  </si>
  <si>
    <t>RAHUL YADAV</t>
  </si>
  <si>
    <t>SHUBHAM SINGH</t>
  </si>
  <si>
    <t>AMAN RAI</t>
  </si>
  <si>
    <t>PRADEEP YADAV</t>
  </si>
  <si>
    <t>PRIYESH PRIYADARSHI</t>
  </si>
  <si>
    <t>ANMPY0212B</t>
  </si>
  <si>
    <t>NIKPS8503M</t>
  </si>
  <si>
    <t>DSPPR5101H</t>
  </si>
  <si>
    <t>AIXPY4299A</t>
  </si>
  <si>
    <t>CXUPP0240E</t>
  </si>
  <si>
    <t>05.07.1995</t>
  </si>
  <si>
    <t>16.01.2000</t>
  </si>
  <si>
    <t>05.06.1995</t>
  </si>
  <si>
    <t>13.07.1997</t>
  </si>
  <si>
    <t>SHOBHIT SAHU</t>
  </si>
  <si>
    <t>21.04.2004</t>
  </si>
  <si>
    <t>POLPS3340D</t>
  </si>
  <si>
    <t>HARSHIT SINGH</t>
  </si>
  <si>
    <t>ANSH PRATAP SINGH</t>
  </si>
  <si>
    <t>ROSHAN SINGH</t>
  </si>
  <si>
    <t>AMIR ALI</t>
  </si>
  <si>
    <t>NAMRATA PANDEY</t>
  </si>
  <si>
    <t>AYUSH ARYAN SINGH</t>
  </si>
  <si>
    <t>JYOTI PANDEY</t>
  </si>
  <si>
    <t>ASHI SINGH</t>
  </si>
  <si>
    <t>SHIVA SINGH</t>
  </si>
  <si>
    <t>AKASH SRIVASTAVA</t>
  </si>
  <si>
    <t>KAUSHTUV SINGH</t>
  </si>
  <si>
    <t>RAHUL SINGH</t>
  </si>
  <si>
    <t>MQRPS9029N</t>
  </si>
  <si>
    <t>JDUPS5924M</t>
  </si>
  <si>
    <t>NKXPS7439K</t>
  </si>
  <si>
    <t>DPWPA9345J</t>
  </si>
  <si>
    <t>GOGPP1779M</t>
  </si>
  <si>
    <t>QAJPS4632B</t>
  </si>
  <si>
    <t>EDPPP0133K</t>
  </si>
  <si>
    <t>TXVPS4887Q</t>
  </si>
  <si>
    <t>LPVPS9534L</t>
  </si>
  <si>
    <t>KXDPS9781Q</t>
  </si>
  <si>
    <t>TUCPS2034D</t>
  </si>
  <si>
    <t>SKKPS8674G</t>
  </si>
  <si>
    <t>10.10.2001</t>
  </si>
  <si>
    <t>08.03.2003</t>
  </si>
  <si>
    <t>31.03.2001</t>
  </si>
  <si>
    <t>19.07.2003</t>
  </si>
  <si>
    <t>15.01.2002</t>
  </si>
  <si>
    <t>23.06.1999</t>
  </si>
  <si>
    <t>30.11.2005</t>
  </si>
  <si>
    <t>30.12.2000</t>
  </si>
  <si>
    <t>22.01.2000</t>
  </si>
  <si>
    <t>18.07.2004</t>
  </si>
  <si>
    <t>15.11.2005</t>
  </si>
  <si>
    <t>ARYAN SINGH</t>
  </si>
  <si>
    <t>RDJPS6222M</t>
  </si>
  <si>
    <t>10.07.2003</t>
  </si>
  <si>
    <t>AMIT KUMAR</t>
  </si>
  <si>
    <t>RAJESH KUMAR</t>
  </si>
  <si>
    <t>SINGH ANKITKUMAR RAMESHKUMAR</t>
  </si>
  <si>
    <t>ANKIT KUMAR GIRI</t>
  </si>
  <si>
    <t>FATPK7309L</t>
  </si>
  <si>
    <t>IWOPK7180R</t>
  </si>
  <si>
    <t>IZPPS3727A</t>
  </si>
  <si>
    <t>DPVPG1430P</t>
  </si>
  <si>
    <t>01.08.2025</t>
  </si>
  <si>
    <t>19.08.2025</t>
  </si>
  <si>
    <t>18.08.2025</t>
  </si>
  <si>
    <t>SUMANTA DIGAL</t>
  </si>
  <si>
    <t>HGYPD5665K</t>
  </si>
  <si>
    <t>27.02.2000</t>
  </si>
  <si>
    <t>CHANDAN SINGH</t>
  </si>
  <si>
    <t>RISHABH SINGH</t>
  </si>
  <si>
    <t>JUMPS7930A</t>
  </si>
  <si>
    <t>GCCPS6321G</t>
  </si>
  <si>
    <t>16.02.1999</t>
  </si>
  <si>
    <t>13.06.1996</t>
  </si>
  <si>
    <t>ADARSH TIWARI</t>
  </si>
  <si>
    <t>BQFPT7296H</t>
  </si>
  <si>
    <t>12.09.2000</t>
  </si>
  <si>
    <t>ANURAG TRIPATHI</t>
  </si>
  <si>
    <t>DEVANSH SINGH</t>
  </si>
  <si>
    <t>UDAY PRATAP SINGH</t>
  </si>
  <si>
    <t xml:space="preserve">ABHISHEK SINGH </t>
  </si>
  <si>
    <t>16.08.2001</t>
  </si>
  <si>
    <t>28.04.2005</t>
  </si>
  <si>
    <t>29.08.2000</t>
  </si>
  <si>
    <t>15.04.2000</t>
  </si>
  <si>
    <t>08.06.2001</t>
  </si>
  <si>
    <t>DPMPA6148P</t>
  </si>
  <si>
    <t>TVUPS5250J</t>
  </si>
  <si>
    <t>LGJPS8703E</t>
  </si>
  <si>
    <t>KPIPS5696H</t>
  </si>
  <si>
    <t>NVSPS4854N</t>
  </si>
  <si>
    <t>UTKARSH SINGH</t>
  </si>
  <si>
    <t>KUNAL GUPTA</t>
  </si>
  <si>
    <t>ADITYA KUMAR GAUTAM</t>
  </si>
  <si>
    <t>UTKARSH TIWARI</t>
  </si>
  <si>
    <t>UNUPS6245E</t>
  </si>
  <si>
    <t>EBHPG9219R</t>
  </si>
  <si>
    <t>DJGPG2915C</t>
  </si>
  <si>
    <t>BXKPT1322G</t>
  </si>
  <si>
    <t>29.09.2006</t>
  </si>
  <si>
    <t>29.11.2004</t>
  </si>
  <si>
    <t>03.05.1999</t>
  </si>
  <si>
    <t>19.04.2002</t>
  </si>
  <si>
    <t>DHIRENDRA KUMAR UPADHYAY</t>
  </si>
  <si>
    <t>AFRPU9166K</t>
  </si>
  <si>
    <t>15.12.1997</t>
  </si>
  <si>
    <t>NIKHIL PANDEY</t>
  </si>
  <si>
    <t>JCBPP4841Q</t>
  </si>
  <si>
    <t>18.03.2006</t>
  </si>
  <si>
    <t>ANZPI3375G</t>
  </si>
  <si>
    <t>23.03.2001</t>
  </si>
  <si>
    <t>IRAM</t>
  </si>
  <si>
    <t>CQZPG6657A</t>
  </si>
  <si>
    <t>ABHISHEK KUMAR</t>
  </si>
  <si>
    <t>SHIVANI</t>
  </si>
  <si>
    <t>KEEPK8014L</t>
  </si>
  <si>
    <t>PSMPS5384A</t>
  </si>
  <si>
    <t>16.12.2001</t>
  </si>
  <si>
    <t>16.07.2001</t>
  </si>
  <si>
    <t>ANAND SINGH-2</t>
  </si>
  <si>
    <t>GZTPS1598P</t>
  </si>
  <si>
    <t>15.09.1996</t>
  </si>
  <si>
    <t>QQTPS2178J</t>
  </si>
  <si>
    <t>FVMPA4966B</t>
  </si>
  <si>
    <t>DZLPR5501N</t>
  </si>
  <si>
    <t>OZSPK7497A</t>
  </si>
  <si>
    <t>28.08.2004</t>
  </si>
  <si>
    <t>06.07.2006</t>
  </si>
  <si>
    <t>17.08.2001</t>
  </si>
  <si>
    <t>24.12.2005</t>
  </si>
  <si>
    <t>BQWPH7132P</t>
  </si>
  <si>
    <t>15.03.2003</t>
  </si>
  <si>
    <t>DEVENDRA AWASTHI</t>
  </si>
  <si>
    <t>SHRUTI KUMARI</t>
  </si>
  <si>
    <t>HARSH</t>
  </si>
  <si>
    <t>PRASHANT SINGH RISHIVANSHI</t>
  </si>
  <si>
    <t>SALARY FOR THE MONTH OF APRIL 2026</t>
  </si>
  <si>
    <t>Reserve Leave after Mar'26</t>
  </si>
  <si>
    <t>Casual Leave after Mar'26</t>
  </si>
  <si>
    <t>TRIPTI UPADHYAY</t>
  </si>
  <si>
    <t>KARTIK SHARMA</t>
  </si>
  <si>
    <t>AOIPU0498L</t>
  </si>
  <si>
    <t>GGBPS8760J</t>
  </si>
  <si>
    <t>11.07.2002</t>
  </si>
  <si>
    <t>02.04.1999</t>
  </si>
  <si>
    <t>Present</t>
  </si>
  <si>
    <t>Reserve Leave after Apr'26</t>
  </si>
  <si>
    <t>Casual Leave after Apr'26</t>
  </si>
  <si>
    <t>Resigned on 24/04/2026</t>
  </si>
  <si>
    <t>Move to Init (31/03/2026)</t>
  </si>
  <si>
    <t>9th April 2026</t>
  </si>
  <si>
    <t>PAWAN YADAV</t>
  </si>
  <si>
    <t>BMUPY4351B</t>
  </si>
  <si>
    <t>06.10.2004</t>
  </si>
  <si>
    <t xml:space="preserve"> LWD is 10/04/2026</t>
  </si>
  <si>
    <t>16235+96=Rs.16331 to be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</si>
</sst>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color rgb="FFCC0000"/>
      <name val="Calibri"/>
      <family val="2"/>
      <scheme val="minor"/>
    </font>
    <font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167">
    <xf numFmtId="0" fontId="0" fillId="0" borderId="0" xfId="0"/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4" fillId="0" borderId="0" xfId="0" applyFont="1" applyFill="1"/>
    <xf numFmtId="0" fontId="2" fillId="0" borderId="1" xfId="0" applyFont="1" applyFill="1" applyBorder="1"/>
    <xf numFmtId="0" fontId="5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left" wrapText="1"/>
    </xf>
    <xf numFmtId="1" fontId="0" fillId="0" borderId="1" xfId="0" applyNumberForma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right" vertical="center"/>
    </xf>
    <xf numFmtId="164" fontId="5" fillId="0" borderId="1" xfId="0" applyNumberFormat="1" applyFont="1" applyFill="1" applyBorder="1" applyAlignment="1">
      <alignment horizontal="left"/>
    </xf>
    <xf numFmtId="0" fontId="4" fillId="0" borderId="0" xfId="0" applyFont="1" applyFill="1" applyAlignment="1">
      <alignment wrapText="1"/>
    </xf>
    <xf numFmtId="164" fontId="4" fillId="0" borderId="0" xfId="0" applyNumberFormat="1" applyFont="1" applyFill="1"/>
    <xf numFmtId="0" fontId="5" fillId="0" borderId="1" xfId="0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1" fontId="4" fillId="0" borderId="0" xfId="0" applyNumberFormat="1" applyFont="1" applyFill="1" applyAlignment="1">
      <alignment horizontal="center"/>
    </xf>
    <xf numFmtId="0" fontId="5" fillId="0" borderId="0" xfId="0" applyFont="1" applyFill="1"/>
    <xf numFmtId="164" fontId="4" fillId="0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right" vertical="center"/>
    </xf>
    <xf numFmtId="1" fontId="5" fillId="0" borderId="1" xfId="0" applyNumberFormat="1" applyFont="1" applyFill="1" applyBorder="1" applyAlignment="1">
      <alignment horizontal="right" vertical="center"/>
    </xf>
    <xf numFmtId="1" fontId="1" fillId="0" borderId="1" xfId="0" applyNumberFormat="1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6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left" wrapText="1"/>
    </xf>
    <xf numFmtId="1" fontId="4" fillId="0" borderId="0" xfId="0" applyNumberFormat="1" applyFont="1" applyFill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vertical="center"/>
    </xf>
    <xf numFmtId="49" fontId="12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0" xfId="0" applyFont="1" applyFill="1"/>
    <xf numFmtId="1" fontId="5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wrapText="1"/>
    </xf>
    <xf numFmtId="1" fontId="11" fillId="2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164" fontId="10" fillId="0" borderId="0" xfId="0" applyNumberFormat="1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wrapText="1"/>
    </xf>
    <xf numFmtId="49" fontId="0" fillId="0" borderId="1" xfId="0" applyNumberFormat="1" applyFont="1" applyFill="1" applyBorder="1" applyAlignment="1"/>
    <xf numFmtId="164" fontId="5" fillId="0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right" vertical="center"/>
    </xf>
    <xf numFmtId="1" fontId="5" fillId="0" borderId="1" xfId="0" applyNumberFormat="1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14" fillId="0" borderId="1" xfId="0" applyFont="1" applyBorder="1"/>
    <xf numFmtId="164" fontId="11" fillId="0" borderId="1" xfId="0" applyNumberFormat="1" applyFont="1" applyFill="1" applyBorder="1" applyAlignment="1">
      <alignment horizontal="center"/>
    </xf>
    <xf numFmtId="1" fontId="5" fillId="0" borderId="6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/>
    <xf numFmtId="0" fontId="19" fillId="0" borderId="1" xfId="0" applyFont="1" applyFill="1" applyBorder="1" applyAlignment="1">
      <alignment horizontal="center"/>
    </xf>
    <xf numFmtId="0" fontId="20" fillId="0" borderId="1" xfId="0" applyFont="1" applyBorder="1"/>
    <xf numFmtId="49" fontId="4" fillId="0" borderId="1" xfId="0" applyNumberFormat="1" applyFont="1" applyFill="1" applyBorder="1" applyAlignment="1"/>
    <xf numFmtId="164" fontId="11" fillId="0" borderId="0" xfId="0" applyNumberFormat="1" applyFont="1" applyFill="1" applyBorder="1" applyAlignment="1">
      <alignment horizontal="left"/>
    </xf>
    <xf numFmtId="0" fontId="6" fillId="0" borderId="1" xfId="0" applyFont="1" applyFill="1" applyBorder="1" applyAlignment="1"/>
    <xf numFmtId="0" fontId="21" fillId="0" borderId="1" xfId="0" applyFont="1" applyBorder="1"/>
    <xf numFmtId="49" fontId="1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/>
    <xf numFmtId="0" fontId="5" fillId="4" borderId="1" xfId="0" applyFont="1" applyFill="1" applyBorder="1" applyAlignment="1">
      <alignment vertical="center"/>
    </xf>
    <xf numFmtId="0" fontId="2" fillId="4" borderId="1" xfId="0" applyFont="1" applyFill="1" applyBorder="1" applyAlignment="1"/>
    <xf numFmtId="164" fontId="3" fillId="0" borderId="0" xfId="0" applyNumberFormat="1" applyFont="1" applyFill="1" applyAlignment="1">
      <alignment horizontal="left"/>
    </xf>
    <xf numFmtId="164" fontId="4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/>
    <xf numFmtId="0" fontId="6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/>
    <xf numFmtId="49" fontId="2" fillId="2" borderId="1" xfId="0" applyNumberFormat="1" applyFont="1" applyFill="1" applyBorder="1" applyAlignment="1"/>
    <xf numFmtId="49" fontId="0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left" wrapText="1"/>
    </xf>
    <xf numFmtId="164" fontId="0" fillId="2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/>
    <xf numFmtId="49" fontId="1" fillId="2" borderId="1" xfId="0" applyNumberFormat="1" applyFont="1" applyFill="1" applyBorder="1" applyAlignment="1"/>
    <xf numFmtId="164" fontId="6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" fontId="1" fillId="0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164" fontId="24" fillId="0" borderId="1" xfId="0" applyNumberFormat="1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/>
    </xf>
    <xf numFmtId="49" fontId="1" fillId="0" borderId="0" xfId="0" applyNumberFormat="1" applyFont="1" applyFill="1" applyAlignment="1">
      <alignment horizontal="center"/>
    </xf>
    <xf numFmtId="49" fontId="6" fillId="0" borderId="1" xfId="0" applyNumberFormat="1" applyFont="1" applyFill="1" applyBorder="1" applyAlignment="1"/>
    <xf numFmtId="49" fontId="1" fillId="0" borderId="1" xfId="0" applyNumberFormat="1" applyFont="1" applyFill="1" applyBorder="1" applyAlignment="1">
      <alignment horizontal="left" wrapText="1"/>
    </xf>
    <xf numFmtId="164" fontId="1" fillId="0" borderId="0" xfId="0" applyNumberFormat="1" applyFont="1" applyFill="1"/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right" vertical="center"/>
    </xf>
    <xf numFmtId="1" fontId="5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/>
    </xf>
    <xf numFmtId="164" fontId="10" fillId="2" borderId="0" xfId="0" applyNumberFormat="1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center"/>
    </xf>
    <xf numFmtId="164" fontId="4" fillId="2" borderId="0" xfId="0" applyNumberFormat="1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16" fillId="0" borderId="0" xfId="0" applyFont="1" applyFill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/>
    </xf>
    <xf numFmtId="0" fontId="6" fillId="4" borderId="1" xfId="0" applyFont="1" applyFill="1" applyBorder="1" applyAlignment="1"/>
    <xf numFmtId="0" fontId="6" fillId="0" borderId="1" xfId="0" applyFont="1" applyFill="1" applyBorder="1"/>
    <xf numFmtId="0" fontId="1" fillId="0" borderId="1" xfId="0" applyFont="1" applyFill="1" applyBorder="1"/>
    <xf numFmtId="164" fontId="1" fillId="0" borderId="1" xfId="0" applyNumberFormat="1" applyFont="1" applyBorder="1" applyAlignment="1">
      <alignment horizontal="center"/>
    </xf>
    <xf numFmtId="1" fontId="24" fillId="2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116"/>
  <sheetViews>
    <sheetView tabSelected="1" zoomScale="55" zoomScaleNormal="55" workbookViewId="0">
      <pane ySplit="7" topLeftCell="A8" activePane="bottomLeft" state="frozen"/>
      <selection pane="bottomLeft" activeCell="D55" sqref="D55"/>
    </sheetView>
  </sheetViews>
  <sheetFormatPr defaultColWidth="9.21875" defaultRowHeight="14.4" x14ac:dyDescent="0.3"/>
  <cols>
    <col min="1" max="1" width="5.5546875" style="13" bestFit="1" customWidth="1"/>
    <col min="2" max="2" width="15.44140625" style="26" bestFit="1" customWidth="1"/>
    <col min="3" max="3" width="13.44140625" style="26" customWidth="1"/>
    <col min="4" max="4" width="13.44140625" style="26" bestFit="1" customWidth="1"/>
    <col min="5" max="5" width="44.5546875" style="22" bestFit="1" customWidth="1"/>
    <col min="6" max="6" width="17.6640625" style="13" bestFit="1" customWidth="1"/>
    <col min="7" max="7" width="12.21875" style="13" bestFit="1" customWidth="1"/>
    <col min="8" max="8" width="7.5546875" style="13" bestFit="1" customWidth="1"/>
    <col min="9" max="9" width="10.44140625" style="23" bestFit="1" customWidth="1"/>
    <col min="10" max="10" width="8.77734375" style="23" bestFit="1" customWidth="1"/>
    <col min="11" max="11" width="8.77734375" style="25" bestFit="1" customWidth="1"/>
    <col min="12" max="12" width="9" style="25" bestFit="1" customWidth="1"/>
    <col min="13" max="13" width="8.21875" style="25" bestFit="1" customWidth="1"/>
    <col min="14" max="14" width="10.21875" style="25" bestFit="1" customWidth="1"/>
    <col min="15" max="15" width="11.21875" style="25" bestFit="1" customWidth="1"/>
    <col min="16" max="16" width="10.77734375" style="25" bestFit="1" customWidth="1"/>
    <col min="17" max="17" width="11.21875" style="25" bestFit="1" customWidth="1"/>
    <col min="18" max="18" width="9.77734375" style="25" bestFit="1" customWidth="1"/>
    <col min="19" max="19" width="13.6640625" style="25" bestFit="1" customWidth="1"/>
    <col min="20" max="20" width="11.21875" style="25" bestFit="1" customWidth="1"/>
    <col min="21" max="21" width="9.44140625" style="25" bestFit="1" customWidth="1"/>
    <col min="22" max="22" width="7.77734375" style="25" bestFit="1" customWidth="1"/>
    <col min="23" max="23" width="8.44140625" style="25" bestFit="1" customWidth="1"/>
    <col min="24" max="24" width="8.77734375" style="25" customWidth="1"/>
    <col min="25" max="25" width="10.21875" style="25" bestFit="1" customWidth="1"/>
    <col min="26" max="26" width="11.6640625" style="41" bestFit="1" customWidth="1"/>
    <col min="27" max="27" width="15.44140625" style="13" bestFit="1" customWidth="1"/>
    <col min="28" max="28" width="25.109375" style="13" bestFit="1" customWidth="1"/>
    <col min="29" max="29" width="6.77734375" style="63" bestFit="1" customWidth="1"/>
    <col min="30" max="30" width="19.88671875" style="13" bestFit="1" customWidth="1"/>
    <col min="31" max="31" width="18.44140625" style="13" bestFit="1" customWidth="1"/>
    <col min="32" max="32" width="30.21875" style="13" bestFit="1" customWidth="1"/>
    <col min="33" max="34" width="9.21875" style="13"/>
    <col min="35" max="35" width="29.77734375" style="115" bestFit="1" customWidth="1"/>
    <col min="36" max="16384" width="9.21875" style="13"/>
  </cols>
  <sheetData>
    <row r="1" spans="1:35" x14ac:dyDescent="0.3">
      <c r="A1" s="154"/>
      <c r="B1" s="154"/>
      <c r="C1" s="154"/>
      <c r="D1" s="154"/>
      <c r="E1" s="154"/>
      <c r="F1" s="154"/>
      <c r="G1" s="154"/>
      <c r="H1" s="154"/>
      <c r="I1" s="94"/>
    </row>
    <row r="2" spans="1:35" ht="13.5" customHeight="1" x14ac:dyDescent="0.3">
      <c r="A2" s="155" t="s">
        <v>30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</row>
    <row r="3" spans="1:35" x14ac:dyDescent="0.3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27" t="s">
        <v>0</v>
      </c>
      <c r="AC3" s="64">
        <v>30</v>
      </c>
    </row>
    <row r="4" spans="1:35" ht="20.25" customHeight="1" x14ac:dyDescent="0.3">
      <c r="A4" s="9"/>
      <c r="B4" s="4"/>
      <c r="C4" s="4"/>
      <c r="D4" s="4"/>
      <c r="E4" s="1"/>
      <c r="F4" s="9"/>
      <c r="G4" s="9"/>
      <c r="H4" s="9"/>
      <c r="I4" s="28"/>
      <c r="J4" s="2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62"/>
      <c r="AA4" s="46"/>
      <c r="AB4" s="46"/>
    </row>
    <row r="5" spans="1:35" ht="16.5" customHeight="1" x14ac:dyDescent="0.3">
      <c r="A5" s="157" t="s">
        <v>335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9"/>
      <c r="AA5" s="46"/>
      <c r="AB5" s="46"/>
    </row>
    <row r="6" spans="1:35" ht="18.75" customHeight="1" x14ac:dyDescent="0.3">
      <c r="A6" s="29" t="s">
        <v>1</v>
      </c>
      <c r="B6" s="80" t="s">
        <v>2</v>
      </c>
      <c r="C6" s="80" t="s">
        <v>3</v>
      </c>
      <c r="D6" s="70"/>
      <c r="E6" s="2" t="s">
        <v>4</v>
      </c>
      <c r="F6" s="29" t="s">
        <v>5</v>
      </c>
      <c r="G6" s="29" t="s">
        <v>6</v>
      </c>
      <c r="H6" s="29" t="s">
        <v>7</v>
      </c>
      <c r="I6" s="30" t="s">
        <v>344</v>
      </c>
      <c r="J6" s="30" t="s">
        <v>19</v>
      </c>
      <c r="K6" s="31" t="s">
        <v>9</v>
      </c>
      <c r="L6" s="31" t="s">
        <v>10</v>
      </c>
      <c r="M6" s="32" t="s">
        <v>11</v>
      </c>
      <c r="N6" s="32"/>
      <c r="O6" s="31" t="s">
        <v>8</v>
      </c>
      <c r="P6" s="31" t="s">
        <v>9</v>
      </c>
      <c r="Q6" s="31" t="s">
        <v>10</v>
      </c>
      <c r="R6" s="32" t="s">
        <v>11</v>
      </c>
      <c r="S6" s="32" t="s">
        <v>12</v>
      </c>
      <c r="T6" s="31" t="s">
        <v>8</v>
      </c>
      <c r="U6" s="153" t="s">
        <v>13</v>
      </c>
      <c r="V6" s="153"/>
      <c r="W6" s="153"/>
      <c r="X6" s="153"/>
      <c r="Y6" s="31" t="s">
        <v>14</v>
      </c>
      <c r="Z6" s="37" t="s">
        <v>15</v>
      </c>
      <c r="AA6" s="71"/>
      <c r="AB6" s="71"/>
    </row>
    <row r="7" spans="1:35" ht="55.05" customHeight="1" x14ac:dyDescent="0.3">
      <c r="A7" s="29" t="s">
        <v>16</v>
      </c>
      <c r="B7" s="80"/>
      <c r="C7" s="80"/>
      <c r="D7" s="70" t="s">
        <v>181</v>
      </c>
      <c r="E7" s="2"/>
      <c r="F7" s="29"/>
      <c r="G7" s="29"/>
      <c r="H7" s="29" t="s">
        <v>17</v>
      </c>
      <c r="I7" s="30" t="s">
        <v>18</v>
      </c>
      <c r="J7" s="30" t="s">
        <v>18</v>
      </c>
      <c r="K7" s="31" t="s">
        <v>19</v>
      </c>
      <c r="L7" s="31" t="s">
        <v>20</v>
      </c>
      <c r="M7" s="31" t="s">
        <v>20</v>
      </c>
      <c r="N7" s="31"/>
      <c r="O7" s="31" t="s">
        <v>20</v>
      </c>
      <c r="P7" s="31" t="s">
        <v>19</v>
      </c>
      <c r="Q7" s="31" t="s">
        <v>20</v>
      </c>
      <c r="R7" s="31" t="s">
        <v>20</v>
      </c>
      <c r="S7" s="5"/>
      <c r="T7" s="31" t="s">
        <v>20</v>
      </c>
      <c r="U7" s="31" t="s">
        <v>21</v>
      </c>
      <c r="V7" s="31" t="s">
        <v>22</v>
      </c>
      <c r="W7" s="31" t="s">
        <v>23</v>
      </c>
      <c r="X7" s="31" t="s">
        <v>24</v>
      </c>
      <c r="Y7" s="31" t="s">
        <v>25</v>
      </c>
      <c r="Z7" s="37" t="s">
        <v>26</v>
      </c>
      <c r="AA7" s="71" t="s">
        <v>345</v>
      </c>
      <c r="AB7" s="71" t="s">
        <v>346</v>
      </c>
      <c r="AD7" s="71" t="s">
        <v>336</v>
      </c>
      <c r="AE7" s="71" t="s">
        <v>337</v>
      </c>
    </row>
    <row r="8" spans="1:35" ht="17.25" customHeight="1" x14ac:dyDescent="0.3">
      <c r="A8" s="72">
        <v>1</v>
      </c>
      <c r="B8" s="3" t="s">
        <v>27</v>
      </c>
      <c r="C8" s="4" t="s">
        <v>27</v>
      </c>
      <c r="D8" s="4"/>
      <c r="E8" s="77" t="s">
        <v>40</v>
      </c>
      <c r="F8" s="7" t="s">
        <v>41</v>
      </c>
      <c r="G8" s="8" t="s">
        <v>42</v>
      </c>
      <c r="H8" s="33" t="s">
        <v>27</v>
      </c>
      <c r="I8" s="95">
        <v>30</v>
      </c>
      <c r="J8" s="61">
        <v>30</v>
      </c>
      <c r="K8" s="10">
        <v>40000</v>
      </c>
      <c r="L8" s="10">
        <v>32000</v>
      </c>
      <c r="M8" s="10">
        <v>8000</v>
      </c>
      <c r="N8" s="5">
        <f t="shared" ref="N8:N39" si="0">K8+L8+M8</f>
        <v>80000</v>
      </c>
      <c r="O8" s="11">
        <f t="shared" ref="O8:O39" si="1">N8</f>
        <v>80000</v>
      </c>
      <c r="P8" s="34">
        <f t="shared" ref="P8:P39" si="2">ROUND(K8/$AC$3*J8,0)</f>
        <v>40000</v>
      </c>
      <c r="Q8" s="34">
        <f t="shared" ref="Q8:Q39" si="3">ROUND(L8/$AC$3*J8,0)</f>
        <v>32000</v>
      </c>
      <c r="R8" s="34">
        <f t="shared" ref="R8:R39" si="4">ROUND(M8/$AC$3*J8,0)</f>
        <v>8000</v>
      </c>
      <c r="S8" s="11"/>
      <c r="T8" s="35">
        <f t="shared" ref="T8:T39" si="5">P8+Q8+R8</f>
        <v>80000</v>
      </c>
      <c r="U8" s="43">
        <v>0</v>
      </c>
      <c r="V8" s="45">
        <v>0</v>
      </c>
      <c r="W8" s="12"/>
      <c r="X8" s="6"/>
      <c r="Y8" s="3">
        <f t="shared" ref="Y8:Y39" si="6">U8+V8+W8+X8</f>
        <v>0</v>
      </c>
      <c r="Z8" s="37">
        <f t="shared" ref="Z8:Z39" si="7">T8-Y8</f>
        <v>80000</v>
      </c>
      <c r="AA8" s="74">
        <v>2</v>
      </c>
      <c r="AB8" s="74">
        <v>1</v>
      </c>
      <c r="AC8" s="65"/>
      <c r="AD8" s="74">
        <v>1</v>
      </c>
      <c r="AE8" s="74">
        <v>0.5</v>
      </c>
      <c r="AF8" s="23"/>
      <c r="AG8" s="23"/>
    </row>
    <row r="9" spans="1:35" ht="17.25" customHeight="1" x14ac:dyDescent="0.3">
      <c r="A9" s="72">
        <f t="shared" ref="A9:A40" si="8">A8+1</f>
        <v>2</v>
      </c>
      <c r="B9" s="18">
        <v>101781014530</v>
      </c>
      <c r="C9" s="4">
        <v>6720708554</v>
      </c>
      <c r="D9" s="4"/>
      <c r="E9" s="77" t="s">
        <v>55</v>
      </c>
      <c r="F9" s="7" t="s">
        <v>56</v>
      </c>
      <c r="G9" s="8" t="s">
        <v>57</v>
      </c>
      <c r="H9" s="33" t="s">
        <v>27</v>
      </c>
      <c r="I9" s="95">
        <v>28</v>
      </c>
      <c r="J9" s="21">
        <v>30</v>
      </c>
      <c r="K9" s="10">
        <v>13580</v>
      </c>
      <c r="L9" s="10">
        <v>6500</v>
      </c>
      <c r="M9" s="10">
        <v>0</v>
      </c>
      <c r="N9" s="5">
        <f t="shared" si="0"/>
        <v>20080</v>
      </c>
      <c r="O9" s="11">
        <f t="shared" si="1"/>
        <v>20080</v>
      </c>
      <c r="P9" s="34">
        <f t="shared" si="2"/>
        <v>13580</v>
      </c>
      <c r="Q9" s="34">
        <f t="shared" si="3"/>
        <v>6500</v>
      </c>
      <c r="R9" s="34">
        <f t="shared" si="4"/>
        <v>0</v>
      </c>
      <c r="S9" s="11"/>
      <c r="T9" s="35">
        <f t="shared" si="5"/>
        <v>20080</v>
      </c>
      <c r="U9" s="20">
        <f>ROUND(IF(K9&gt;15000,(15000/$AC$3*J9)*12%,P9*12%)*1,0)</f>
        <v>1630</v>
      </c>
      <c r="V9" s="24">
        <f>ROUNDUP(T9*0.75%,0)</f>
        <v>151</v>
      </c>
      <c r="W9" s="39"/>
      <c r="X9" s="6"/>
      <c r="Y9" s="3">
        <f t="shared" si="6"/>
        <v>1781</v>
      </c>
      <c r="Z9" s="37">
        <f t="shared" si="7"/>
        <v>18299</v>
      </c>
      <c r="AA9" s="74">
        <v>32</v>
      </c>
      <c r="AB9" s="74">
        <v>0</v>
      </c>
      <c r="AC9" s="65"/>
      <c r="AD9" s="74">
        <v>31</v>
      </c>
      <c r="AE9" s="74">
        <v>1.5</v>
      </c>
      <c r="AF9" s="23"/>
      <c r="AG9" s="23"/>
    </row>
    <row r="10" spans="1:35" ht="17.25" customHeight="1" x14ac:dyDescent="0.3">
      <c r="A10" s="72">
        <f t="shared" si="8"/>
        <v>3</v>
      </c>
      <c r="B10" s="18">
        <v>101582485634</v>
      </c>
      <c r="C10" s="4">
        <v>6721369962</v>
      </c>
      <c r="D10" s="4"/>
      <c r="E10" s="38" t="s">
        <v>69</v>
      </c>
      <c r="F10" s="7" t="s">
        <v>70</v>
      </c>
      <c r="G10" s="9" t="s">
        <v>71</v>
      </c>
      <c r="H10" s="33" t="s">
        <v>27</v>
      </c>
      <c r="I10" s="95">
        <v>28</v>
      </c>
      <c r="J10" s="21">
        <v>30</v>
      </c>
      <c r="K10" s="10">
        <v>13580</v>
      </c>
      <c r="L10" s="10">
        <v>5170</v>
      </c>
      <c r="M10" s="10">
        <v>0</v>
      </c>
      <c r="N10" s="5">
        <f t="shared" si="0"/>
        <v>18750</v>
      </c>
      <c r="O10" s="11">
        <f t="shared" si="1"/>
        <v>18750</v>
      </c>
      <c r="P10" s="34">
        <f t="shared" si="2"/>
        <v>13580</v>
      </c>
      <c r="Q10" s="34">
        <f t="shared" si="3"/>
        <v>5170</v>
      </c>
      <c r="R10" s="34">
        <f t="shared" si="4"/>
        <v>0</v>
      </c>
      <c r="S10" s="11"/>
      <c r="T10" s="35">
        <f t="shared" si="5"/>
        <v>18750</v>
      </c>
      <c r="U10" s="20">
        <f>ROUND(IF(K10&gt;15000,(15000/$AC$3*J10)*12%,P10*12%)*1,0)</f>
        <v>1630</v>
      </c>
      <c r="V10" s="24">
        <f>ROUNDUP(T10*0.75%,0)</f>
        <v>141</v>
      </c>
      <c r="W10" s="12"/>
      <c r="X10" s="6"/>
      <c r="Y10" s="3">
        <f>U10+V10+W10+X10</f>
        <v>1771</v>
      </c>
      <c r="Z10" s="37">
        <f t="shared" si="7"/>
        <v>16979</v>
      </c>
      <c r="AA10" s="74">
        <v>44</v>
      </c>
      <c r="AB10" s="74">
        <v>0</v>
      </c>
      <c r="AC10" s="65"/>
      <c r="AD10" s="74">
        <v>43</v>
      </c>
      <c r="AE10" s="74">
        <v>1.5</v>
      </c>
      <c r="AF10" s="23"/>
      <c r="AG10" s="23"/>
    </row>
    <row r="11" spans="1:35" ht="17.25" customHeight="1" x14ac:dyDescent="0.3">
      <c r="A11" s="72">
        <f t="shared" si="8"/>
        <v>4</v>
      </c>
      <c r="B11" s="4" t="s">
        <v>27</v>
      </c>
      <c r="C11" s="4" t="s">
        <v>27</v>
      </c>
      <c r="D11" s="4"/>
      <c r="E11" s="6" t="s">
        <v>105</v>
      </c>
      <c r="F11" s="15" t="s">
        <v>106</v>
      </c>
      <c r="G11" s="59" t="s">
        <v>107</v>
      </c>
      <c r="H11" s="33" t="s">
        <v>27</v>
      </c>
      <c r="I11" s="95">
        <v>30</v>
      </c>
      <c r="J11" s="61">
        <v>30</v>
      </c>
      <c r="K11" s="10">
        <v>30000</v>
      </c>
      <c r="L11" s="10">
        <v>24000</v>
      </c>
      <c r="M11" s="10">
        <v>6000</v>
      </c>
      <c r="N11" s="5">
        <f t="shared" si="0"/>
        <v>60000</v>
      </c>
      <c r="O11" s="11">
        <f t="shared" si="1"/>
        <v>60000</v>
      </c>
      <c r="P11" s="34">
        <f t="shared" si="2"/>
        <v>30000</v>
      </c>
      <c r="Q11" s="34">
        <f t="shared" si="3"/>
        <v>24000</v>
      </c>
      <c r="R11" s="34">
        <f t="shared" si="4"/>
        <v>6000</v>
      </c>
      <c r="S11" s="11"/>
      <c r="T11" s="35">
        <f t="shared" si="5"/>
        <v>60000</v>
      </c>
      <c r="U11" s="60">
        <v>0</v>
      </c>
      <c r="V11" s="60">
        <v>0</v>
      </c>
      <c r="W11" s="10"/>
      <c r="X11" s="6"/>
      <c r="Y11" s="3">
        <f t="shared" si="6"/>
        <v>0</v>
      </c>
      <c r="Z11" s="76">
        <f t="shared" si="7"/>
        <v>60000</v>
      </c>
      <c r="AA11" s="74">
        <v>10</v>
      </c>
      <c r="AB11" s="74">
        <v>2</v>
      </c>
      <c r="AC11" s="65"/>
      <c r="AD11" s="74">
        <v>9</v>
      </c>
      <c r="AE11" s="74">
        <v>1.5</v>
      </c>
      <c r="AF11" s="23"/>
      <c r="AG11" s="23"/>
    </row>
    <row r="12" spans="1:35" ht="17.25" customHeight="1" x14ac:dyDescent="0.3">
      <c r="A12" s="72">
        <f t="shared" si="8"/>
        <v>5</v>
      </c>
      <c r="B12" s="18">
        <v>102068090957</v>
      </c>
      <c r="C12" s="19">
        <v>6723302397</v>
      </c>
      <c r="D12" s="19"/>
      <c r="E12" s="38" t="s">
        <v>129</v>
      </c>
      <c r="F12" s="15" t="s">
        <v>130</v>
      </c>
      <c r="G12" s="17" t="s">
        <v>131</v>
      </c>
      <c r="H12" s="33" t="s">
        <v>27</v>
      </c>
      <c r="I12" s="95">
        <v>28</v>
      </c>
      <c r="J12" s="21">
        <v>30</v>
      </c>
      <c r="K12" s="10">
        <v>13580</v>
      </c>
      <c r="L12" s="10">
        <v>3920</v>
      </c>
      <c r="M12" s="10">
        <v>0</v>
      </c>
      <c r="N12" s="5">
        <f t="shared" si="0"/>
        <v>17500</v>
      </c>
      <c r="O12" s="11">
        <f t="shared" si="1"/>
        <v>17500</v>
      </c>
      <c r="P12" s="34">
        <f t="shared" si="2"/>
        <v>13580</v>
      </c>
      <c r="Q12" s="34">
        <f t="shared" si="3"/>
        <v>3920</v>
      </c>
      <c r="R12" s="34">
        <f t="shared" si="4"/>
        <v>0</v>
      </c>
      <c r="S12" s="11"/>
      <c r="T12" s="35">
        <f t="shared" si="5"/>
        <v>17500</v>
      </c>
      <c r="U12" s="20">
        <f>ROUND(IF(K12&gt;15000,(15000/$AC$3*J12)*12%,P12*12%)*1,0)</f>
        <v>1630</v>
      </c>
      <c r="V12" s="24">
        <f>ROUNDUP(T12*0.75%,0)</f>
        <v>132</v>
      </c>
      <c r="W12" s="12">
        <v>1000</v>
      </c>
      <c r="X12" s="6"/>
      <c r="Y12" s="3">
        <f t="shared" si="6"/>
        <v>2762</v>
      </c>
      <c r="Z12" s="37">
        <f t="shared" si="7"/>
        <v>14738</v>
      </c>
      <c r="AA12" s="74">
        <v>22</v>
      </c>
      <c r="AB12" s="74">
        <v>0</v>
      </c>
      <c r="AC12" s="65"/>
      <c r="AD12" s="74">
        <v>21</v>
      </c>
      <c r="AE12" s="74">
        <v>1.5</v>
      </c>
      <c r="AF12" s="23"/>
      <c r="AG12" s="23"/>
    </row>
    <row r="13" spans="1:35" ht="17.25" customHeight="1" x14ac:dyDescent="0.3">
      <c r="A13" s="72">
        <f t="shared" si="8"/>
        <v>6</v>
      </c>
      <c r="B13" s="47" t="s">
        <v>27</v>
      </c>
      <c r="C13" s="48" t="s">
        <v>27</v>
      </c>
      <c r="D13" s="48"/>
      <c r="E13" s="78" t="s">
        <v>141</v>
      </c>
      <c r="F13" s="49" t="s">
        <v>142</v>
      </c>
      <c r="G13" s="40" t="s">
        <v>143</v>
      </c>
      <c r="H13" s="79" t="s">
        <v>27</v>
      </c>
      <c r="I13" s="96">
        <v>30</v>
      </c>
      <c r="J13" s="61">
        <v>30</v>
      </c>
      <c r="K13" s="50">
        <v>25000</v>
      </c>
      <c r="L13" s="50">
        <v>20000</v>
      </c>
      <c r="M13" s="50">
        <v>5000</v>
      </c>
      <c r="N13" s="51">
        <f t="shared" si="0"/>
        <v>50000</v>
      </c>
      <c r="O13" s="52">
        <f t="shared" si="1"/>
        <v>50000</v>
      </c>
      <c r="P13" s="34">
        <f t="shared" si="2"/>
        <v>25000</v>
      </c>
      <c r="Q13" s="34">
        <f t="shared" si="3"/>
        <v>20000</v>
      </c>
      <c r="R13" s="34">
        <f t="shared" si="4"/>
        <v>5000</v>
      </c>
      <c r="S13" s="11"/>
      <c r="T13" s="35">
        <f t="shared" si="5"/>
        <v>50000</v>
      </c>
      <c r="U13" s="43">
        <v>0</v>
      </c>
      <c r="V13" s="43">
        <v>0</v>
      </c>
      <c r="W13" s="50"/>
      <c r="X13" s="53"/>
      <c r="Y13" s="3">
        <f t="shared" si="6"/>
        <v>0</v>
      </c>
      <c r="Z13" s="76">
        <f t="shared" si="7"/>
        <v>50000</v>
      </c>
      <c r="AA13" s="74">
        <v>9</v>
      </c>
      <c r="AB13" s="74">
        <v>1.5</v>
      </c>
      <c r="AC13" s="65"/>
      <c r="AD13" s="74">
        <v>8</v>
      </c>
      <c r="AE13" s="74">
        <v>1</v>
      </c>
      <c r="AF13" s="23"/>
      <c r="AG13" s="23"/>
    </row>
    <row r="14" spans="1:35" ht="17.25" customHeight="1" x14ac:dyDescent="0.3">
      <c r="A14" s="72">
        <f t="shared" si="8"/>
        <v>7</v>
      </c>
      <c r="B14" s="18" t="s">
        <v>27</v>
      </c>
      <c r="C14" s="19" t="s">
        <v>27</v>
      </c>
      <c r="D14" s="19"/>
      <c r="E14" s="78" t="s">
        <v>168</v>
      </c>
      <c r="F14" s="15" t="s">
        <v>169</v>
      </c>
      <c r="G14" s="17" t="s">
        <v>170</v>
      </c>
      <c r="H14" s="33" t="s">
        <v>27</v>
      </c>
      <c r="I14" s="95">
        <v>30</v>
      </c>
      <c r="J14" s="61">
        <v>30</v>
      </c>
      <c r="K14" s="10">
        <v>30000</v>
      </c>
      <c r="L14" s="10">
        <v>24000</v>
      </c>
      <c r="M14" s="10">
        <v>6000</v>
      </c>
      <c r="N14" s="5">
        <f t="shared" si="0"/>
        <v>60000</v>
      </c>
      <c r="O14" s="11">
        <f t="shared" si="1"/>
        <v>60000</v>
      </c>
      <c r="P14" s="34">
        <f t="shared" si="2"/>
        <v>30000</v>
      </c>
      <c r="Q14" s="34">
        <f t="shared" si="3"/>
        <v>24000</v>
      </c>
      <c r="R14" s="34">
        <f t="shared" si="4"/>
        <v>6000</v>
      </c>
      <c r="S14" s="11"/>
      <c r="T14" s="35">
        <f t="shared" si="5"/>
        <v>60000</v>
      </c>
      <c r="U14" s="43">
        <v>0</v>
      </c>
      <c r="V14" s="43">
        <v>0</v>
      </c>
      <c r="W14" s="12"/>
      <c r="X14" s="6"/>
      <c r="Y14" s="3">
        <f t="shared" si="6"/>
        <v>0</v>
      </c>
      <c r="Z14" s="76">
        <f t="shared" si="7"/>
        <v>60000</v>
      </c>
      <c r="AA14" s="74">
        <v>7</v>
      </c>
      <c r="AB14" s="74">
        <v>1.5</v>
      </c>
      <c r="AC14" s="65"/>
      <c r="AD14" s="74">
        <v>6</v>
      </c>
      <c r="AE14" s="74">
        <v>1</v>
      </c>
      <c r="AF14" s="23"/>
      <c r="AG14" s="23"/>
    </row>
    <row r="15" spans="1:35" s="135" customFormat="1" ht="17.25" customHeight="1" x14ac:dyDescent="0.3">
      <c r="A15" s="118">
        <f t="shared" si="8"/>
        <v>8</v>
      </c>
      <c r="B15" s="119">
        <v>102195019041</v>
      </c>
      <c r="C15" s="120">
        <v>6724621924</v>
      </c>
      <c r="D15" s="120"/>
      <c r="E15" s="85" t="s">
        <v>188</v>
      </c>
      <c r="F15" s="139" t="s">
        <v>191</v>
      </c>
      <c r="G15" s="140" t="s">
        <v>194</v>
      </c>
      <c r="H15" s="88">
        <v>115</v>
      </c>
      <c r="I15" s="97">
        <v>23</v>
      </c>
      <c r="J15" s="89">
        <v>23</v>
      </c>
      <c r="K15" s="12">
        <v>13580</v>
      </c>
      <c r="L15" s="12">
        <v>6420</v>
      </c>
      <c r="M15" s="12">
        <v>0</v>
      </c>
      <c r="N15" s="125">
        <f t="shared" si="0"/>
        <v>20000</v>
      </c>
      <c r="O15" s="126">
        <f t="shared" si="1"/>
        <v>20000</v>
      </c>
      <c r="P15" s="127">
        <f t="shared" si="2"/>
        <v>10411</v>
      </c>
      <c r="Q15" s="127">
        <f t="shared" si="3"/>
        <v>4922</v>
      </c>
      <c r="R15" s="127">
        <f t="shared" si="4"/>
        <v>0</v>
      </c>
      <c r="S15" s="126"/>
      <c r="T15" s="128">
        <f t="shared" si="5"/>
        <v>15333</v>
      </c>
      <c r="U15" s="129">
        <f t="shared" ref="U15:U27" si="9">ROUND(IF(K15&gt;15000,(15000/$AC$3*J15)*12%,P15*12%)*1,0)</f>
        <v>1249</v>
      </c>
      <c r="V15" s="130">
        <f>ROUNDUP(T15*0.75%,0)</f>
        <v>115</v>
      </c>
      <c r="W15" s="12"/>
      <c r="X15" s="39"/>
      <c r="Y15" s="131">
        <f t="shared" si="6"/>
        <v>1364</v>
      </c>
      <c r="Z15" s="132">
        <f t="shared" si="7"/>
        <v>13969</v>
      </c>
      <c r="AA15" s="133">
        <v>11</v>
      </c>
      <c r="AB15" s="133">
        <v>0</v>
      </c>
      <c r="AC15" s="134"/>
      <c r="AD15" s="133">
        <v>10</v>
      </c>
      <c r="AE15" s="133">
        <v>0.5</v>
      </c>
      <c r="AF15" s="141"/>
      <c r="AG15" s="141"/>
      <c r="AI15" s="142" t="s">
        <v>347</v>
      </c>
    </row>
    <row r="16" spans="1:35" ht="17.25" customHeight="1" x14ac:dyDescent="0.3">
      <c r="A16" s="72">
        <f t="shared" si="8"/>
        <v>9</v>
      </c>
      <c r="B16" s="18">
        <v>102219588478</v>
      </c>
      <c r="C16" s="19">
        <v>6724798809</v>
      </c>
      <c r="D16" s="19"/>
      <c r="E16" s="91" t="s">
        <v>212</v>
      </c>
      <c r="F16" s="54" t="s">
        <v>214</v>
      </c>
      <c r="G16" s="17" t="s">
        <v>213</v>
      </c>
      <c r="H16" s="33">
        <v>134</v>
      </c>
      <c r="I16" s="95">
        <v>26</v>
      </c>
      <c r="J16" s="21">
        <v>30</v>
      </c>
      <c r="K16" s="10">
        <v>13580</v>
      </c>
      <c r="L16" s="10">
        <v>6420</v>
      </c>
      <c r="M16" s="10">
        <v>0</v>
      </c>
      <c r="N16" s="5">
        <f t="shared" si="0"/>
        <v>20000</v>
      </c>
      <c r="O16" s="11">
        <f t="shared" si="1"/>
        <v>20000</v>
      </c>
      <c r="P16" s="34">
        <f t="shared" si="2"/>
        <v>13580</v>
      </c>
      <c r="Q16" s="34">
        <f t="shared" si="3"/>
        <v>6420</v>
      </c>
      <c r="R16" s="34">
        <f t="shared" si="4"/>
        <v>0</v>
      </c>
      <c r="S16" s="11"/>
      <c r="T16" s="35">
        <f t="shared" si="5"/>
        <v>20000</v>
      </c>
      <c r="U16" s="20">
        <f t="shared" si="9"/>
        <v>1630</v>
      </c>
      <c r="V16" s="24">
        <f>ROUNDUP(T16*0.75%,0)</f>
        <v>150</v>
      </c>
      <c r="W16" s="12"/>
      <c r="X16" s="6"/>
      <c r="Y16" s="3">
        <f t="shared" si="6"/>
        <v>1780</v>
      </c>
      <c r="Z16" s="37">
        <f t="shared" si="7"/>
        <v>18220</v>
      </c>
      <c r="AA16" s="74">
        <v>3</v>
      </c>
      <c r="AB16" s="74">
        <v>0</v>
      </c>
      <c r="AC16" s="65"/>
      <c r="AD16" s="74">
        <v>5</v>
      </c>
      <c r="AE16" s="74">
        <v>0.5</v>
      </c>
      <c r="AF16" s="23"/>
      <c r="AG16" s="23"/>
    </row>
    <row r="17" spans="1:35" ht="17.25" customHeight="1" x14ac:dyDescent="0.3">
      <c r="A17" s="72">
        <f t="shared" si="8"/>
        <v>10</v>
      </c>
      <c r="B17" s="18">
        <v>101251989597</v>
      </c>
      <c r="C17" s="4" t="s">
        <v>27</v>
      </c>
      <c r="D17" s="19"/>
      <c r="E17" s="91" t="s">
        <v>202</v>
      </c>
      <c r="F17" s="54" t="s">
        <v>207</v>
      </c>
      <c r="G17" s="17" t="s">
        <v>211</v>
      </c>
      <c r="H17" s="33">
        <v>142</v>
      </c>
      <c r="I17" s="95">
        <v>29</v>
      </c>
      <c r="J17" s="21">
        <v>30</v>
      </c>
      <c r="K17" s="10">
        <v>14563</v>
      </c>
      <c r="L17" s="10">
        <v>11650</v>
      </c>
      <c r="M17" s="10">
        <v>2913</v>
      </c>
      <c r="N17" s="5">
        <f t="shared" si="0"/>
        <v>29126</v>
      </c>
      <c r="O17" s="11">
        <f t="shared" si="1"/>
        <v>29126</v>
      </c>
      <c r="P17" s="34">
        <f t="shared" si="2"/>
        <v>14563</v>
      </c>
      <c r="Q17" s="34">
        <f t="shared" si="3"/>
        <v>11650</v>
      </c>
      <c r="R17" s="34">
        <f t="shared" si="4"/>
        <v>2913</v>
      </c>
      <c r="S17" s="11"/>
      <c r="T17" s="35">
        <f t="shared" si="5"/>
        <v>29126</v>
      </c>
      <c r="U17" s="20">
        <f t="shared" si="9"/>
        <v>1748</v>
      </c>
      <c r="V17" s="60">
        <v>0</v>
      </c>
      <c r="W17" s="12"/>
      <c r="X17" s="6"/>
      <c r="Y17" s="3">
        <f t="shared" si="6"/>
        <v>1748</v>
      </c>
      <c r="Z17" s="37">
        <f t="shared" si="7"/>
        <v>27378</v>
      </c>
      <c r="AA17" s="74">
        <v>0</v>
      </c>
      <c r="AB17" s="74">
        <v>0.5</v>
      </c>
      <c r="AC17" s="65"/>
      <c r="AD17" s="74">
        <v>0</v>
      </c>
      <c r="AE17" s="74">
        <v>0</v>
      </c>
      <c r="AF17" s="23"/>
      <c r="AG17" s="23"/>
    </row>
    <row r="18" spans="1:35" ht="17.25" customHeight="1" x14ac:dyDescent="0.3">
      <c r="A18" s="72">
        <f t="shared" si="8"/>
        <v>11</v>
      </c>
      <c r="B18" s="18">
        <v>101767624980</v>
      </c>
      <c r="C18" s="19">
        <v>6724747380</v>
      </c>
      <c r="D18" s="19"/>
      <c r="E18" s="38" t="s">
        <v>200</v>
      </c>
      <c r="F18" s="54" t="s">
        <v>205</v>
      </c>
      <c r="G18" s="17" t="s">
        <v>209</v>
      </c>
      <c r="H18" s="33">
        <v>151</v>
      </c>
      <c r="I18" s="95">
        <v>30</v>
      </c>
      <c r="J18" s="21">
        <v>30</v>
      </c>
      <c r="K18" s="10">
        <v>13580</v>
      </c>
      <c r="L18" s="10">
        <v>1420</v>
      </c>
      <c r="M18" s="10">
        <v>0</v>
      </c>
      <c r="N18" s="5">
        <f t="shared" si="0"/>
        <v>15000</v>
      </c>
      <c r="O18" s="11">
        <f t="shared" si="1"/>
        <v>15000</v>
      </c>
      <c r="P18" s="34">
        <f t="shared" si="2"/>
        <v>13580</v>
      </c>
      <c r="Q18" s="34">
        <f t="shared" si="3"/>
        <v>1420</v>
      </c>
      <c r="R18" s="34">
        <f t="shared" si="4"/>
        <v>0</v>
      </c>
      <c r="S18" s="11"/>
      <c r="T18" s="35">
        <f t="shared" si="5"/>
        <v>15000</v>
      </c>
      <c r="U18" s="20">
        <f t="shared" si="9"/>
        <v>1630</v>
      </c>
      <c r="V18" s="24">
        <f>ROUNDUP(T18*0.75%,0)</f>
        <v>113</v>
      </c>
      <c r="W18" s="12"/>
      <c r="X18" s="6"/>
      <c r="Y18" s="3">
        <f t="shared" si="6"/>
        <v>1743</v>
      </c>
      <c r="Z18" s="37">
        <f t="shared" si="7"/>
        <v>13257</v>
      </c>
      <c r="AA18" s="74">
        <v>2</v>
      </c>
      <c r="AB18" s="74">
        <v>1.5</v>
      </c>
      <c r="AC18" s="65"/>
      <c r="AD18" s="74">
        <v>1</v>
      </c>
      <c r="AE18" s="74">
        <v>1</v>
      </c>
      <c r="AF18" s="23"/>
      <c r="AG18" s="23"/>
    </row>
    <row r="19" spans="1:35" ht="17.25" customHeight="1" x14ac:dyDescent="0.3">
      <c r="A19" s="72">
        <f t="shared" si="8"/>
        <v>12</v>
      </c>
      <c r="B19" s="18">
        <v>102206098002</v>
      </c>
      <c r="C19" s="19">
        <v>6724747620</v>
      </c>
      <c r="D19" s="19"/>
      <c r="E19" s="91" t="s">
        <v>201</v>
      </c>
      <c r="F19" s="54" t="s">
        <v>206</v>
      </c>
      <c r="G19" s="17" t="s">
        <v>210</v>
      </c>
      <c r="H19" s="33">
        <v>152</v>
      </c>
      <c r="I19" s="95">
        <v>29</v>
      </c>
      <c r="J19" s="21">
        <v>30</v>
      </c>
      <c r="K19" s="10">
        <v>13580</v>
      </c>
      <c r="L19" s="10">
        <v>10400</v>
      </c>
      <c r="M19" s="10">
        <v>2020</v>
      </c>
      <c r="N19" s="5">
        <f t="shared" si="0"/>
        <v>26000</v>
      </c>
      <c r="O19" s="11">
        <f t="shared" si="1"/>
        <v>26000</v>
      </c>
      <c r="P19" s="34">
        <f t="shared" si="2"/>
        <v>13580</v>
      </c>
      <c r="Q19" s="34">
        <f t="shared" si="3"/>
        <v>10400</v>
      </c>
      <c r="R19" s="34">
        <f t="shared" si="4"/>
        <v>2020</v>
      </c>
      <c r="S19" s="11"/>
      <c r="T19" s="35">
        <f t="shared" si="5"/>
        <v>26000</v>
      </c>
      <c r="U19" s="20">
        <f t="shared" si="9"/>
        <v>1630</v>
      </c>
      <c r="V19" s="43">
        <v>0</v>
      </c>
      <c r="W19" s="12"/>
      <c r="X19" s="6"/>
      <c r="Y19" s="3">
        <f t="shared" si="6"/>
        <v>1630</v>
      </c>
      <c r="Z19" s="37">
        <f t="shared" si="7"/>
        <v>24370</v>
      </c>
      <c r="AA19" s="74">
        <v>4</v>
      </c>
      <c r="AB19" s="74">
        <v>1</v>
      </c>
      <c r="AC19" s="65"/>
      <c r="AD19" s="74">
        <v>3</v>
      </c>
      <c r="AE19" s="74">
        <v>1.5</v>
      </c>
      <c r="AF19" s="23"/>
      <c r="AG19" s="23"/>
    </row>
    <row r="20" spans="1:35" ht="17.25" customHeight="1" x14ac:dyDescent="0.3">
      <c r="A20" s="72">
        <f t="shared" si="8"/>
        <v>13</v>
      </c>
      <c r="B20" s="18">
        <v>101907114853</v>
      </c>
      <c r="C20" s="19" t="s">
        <v>27</v>
      </c>
      <c r="D20" s="19"/>
      <c r="E20" s="91" t="s">
        <v>190</v>
      </c>
      <c r="F20" s="54" t="s">
        <v>193</v>
      </c>
      <c r="G20" s="17" t="s">
        <v>196</v>
      </c>
      <c r="H20" s="33">
        <v>185</v>
      </c>
      <c r="I20" s="95">
        <v>28.5</v>
      </c>
      <c r="J20" s="21">
        <v>30</v>
      </c>
      <c r="K20" s="10">
        <v>25500</v>
      </c>
      <c r="L20" s="10">
        <v>20400</v>
      </c>
      <c r="M20" s="10">
        <v>5100</v>
      </c>
      <c r="N20" s="5">
        <f t="shared" si="0"/>
        <v>51000</v>
      </c>
      <c r="O20" s="11">
        <f t="shared" si="1"/>
        <v>51000</v>
      </c>
      <c r="P20" s="34">
        <f t="shared" si="2"/>
        <v>25500</v>
      </c>
      <c r="Q20" s="34">
        <f t="shared" si="3"/>
        <v>20400</v>
      </c>
      <c r="R20" s="34">
        <f t="shared" si="4"/>
        <v>5100</v>
      </c>
      <c r="S20" s="11"/>
      <c r="T20" s="35">
        <f t="shared" si="5"/>
        <v>51000</v>
      </c>
      <c r="U20" s="20">
        <f t="shared" si="9"/>
        <v>1800</v>
      </c>
      <c r="V20" s="43">
        <v>0</v>
      </c>
      <c r="W20" s="12"/>
      <c r="X20" s="6"/>
      <c r="Y20" s="3">
        <f t="shared" si="6"/>
        <v>1800</v>
      </c>
      <c r="Z20" s="37">
        <f t="shared" si="7"/>
        <v>49200</v>
      </c>
      <c r="AA20" s="74">
        <v>5</v>
      </c>
      <c r="AB20" s="74">
        <v>0.5</v>
      </c>
      <c r="AC20" s="65"/>
      <c r="AD20" s="74">
        <v>5</v>
      </c>
      <c r="AE20" s="74">
        <v>0.5</v>
      </c>
      <c r="AF20" s="23"/>
      <c r="AG20" s="23"/>
    </row>
    <row r="21" spans="1:35" ht="17.25" customHeight="1" x14ac:dyDescent="0.3">
      <c r="A21" s="72">
        <f t="shared" si="8"/>
        <v>14</v>
      </c>
      <c r="B21" s="18">
        <v>101168290493</v>
      </c>
      <c r="C21" s="19" t="s">
        <v>27</v>
      </c>
      <c r="D21" s="19"/>
      <c r="E21" s="98" t="s">
        <v>162</v>
      </c>
      <c r="F21" s="99" t="s">
        <v>163</v>
      </c>
      <c r="G21" s="100" t="s">
        <v>164</v>
      </c>
      <c r="H21" s="101">
        <v>231</v>
      </c>
      <c r="I21" s="102">
        <v>9</v>
      </c>
      <c r="J21" s="103">
        <v>10</v>
      </c>
      <c r="K21" s="104">
        <v>18500</v>
      </c>
      <c r="L21" s="104">
        <v>14800</v>
      </c>
      <c r="M21" s="104">
        <v>3700</v>
      </c>
      <c r="N21" s="105">
        <f t="shared" si="0"/>
        <v>37000</v>
      </c>
      <c r="O21" s="143">
        <f t="shared" si="1"/>
        <v>37000</v>
      </c>
      <c r="P21" s="144">
        <f t="shared" si="2"/>
        <v>6167</v>
      </c>
      <c r="Q21" s="144">
        <f t="shared" si="3"/>
        <v>4933</v>
      </c>
      <c r="R21" s="144">
        <f t="shared" si="4"/>
        <v>1233</v>
      </c>
      <c r="S21" s="143"/>
      <c r="T21" s="145">
        <f t="shared" si="5"/>
        <v>12333</v>
      </c>
      <c r="U21" s="146">
        <f t="shared" si="9"/>
        <v>600</v>
      </c>
      <c r="V21" s="43">
        <v>0</v>
      </c>
      <c r="W21" s="124">
        <v>11733</v>
      </c>
      <c r="X21" s="111"/>
      <c r="Y21" s="147">
        <f t="shared" si="6"/>
        <v>12333</v>
      </c>
      <c r="Z21" s="148">
        <f t="shared" si="7"/>
        <v>0</v>
      </c>
      <c r="AA21" s="149">
        <v>1</v>
      </c>
      <c r="AB21" s="149">
        <v>0</v>
      </c>
      <c r="AC21" s="65"/>
      <c r="AD21" s="74">
        <v>2</v>
      </c>
      <c r="AE21" s="74">
        <v>0.5</v>
      </c>
      <c r="AF21" s="23"/>
      <c r="AG21" s="23"/>
      <c r="AI21" s="117" t="s">
        <v>353</v>
      </c>
    </row>
    <row r="22" spans="1:35" ht="17.25" customHeight="1" x14ac:dyDescent="0.3">
      <c r="A22" s="72">
        <f t="shared" si="8"/>
        <v>15</v>
      </c>
      <c r="B22" s="18">
        <v>102137127099</v>
      </c>
      <c r="C22" s="4" t="s">
        <v>27</v>
      </c>
      <c r="D22" s="4"/>
      <c r="E22" s="78" t="s">
        <v>156</v>
      </c>
      <c r="F22" s="15" t="s">
        <v>157</v>
      </c>
      <c r="G22" s="17" t="s">
        <v>158</v>
      </c>
      <c r="H22" s="33">
        <v>242</v>
      </c>
      <c r="I22" s="95">
        <v>29</v>
      </c>
      <c r="J22" s="21">
        <v>30</v>
      </c>
      <c r="K22" s="10">
        <v>13580</v>
      </c>
      <c r="L22" s="10">
        <v>9600</v>
      </c>
      <c r="M22" s="10">
        <v>820</v>
      </c>
      <c r="N22" s="5">
        <f t="shared" si="0"/>
        <v>24000</v>
      </c>
      <c r="O22" s="11">
        <f t="shared" si="1"/>
        <v>24000</v>
      </c>
      <c r="P22" s="34">
        <f t="shared" si="2"/>
        <v>13580</v>
      </c>
      <c r="Q22" s="34">
        <f t="shared" si="3"/>
        <v>9600</v>
      </c>
      <c r="R22" s="34">
        <f t="shared" si="4"/>
        <v>820</v>
      </c>
      <c r="S22" s="11"/>
      <c r="T22" s="35">
        <f t="shared" si="5"/>
        <v>24000</v>
      </c>
      <c r="U22" s="20">
        <f t="shared" si="9"/>
        <v>1630</v>
      </c>
      <c r="V22" s="60">
        <v>0</v>
      </c>
      <c r="W22" s="12"/>
      <c r="X22" s="6"/>
      <c r="Y22" s="3">
        <f t="shared" si="6"/>
        <v>1630</v>
      </c>
      <c r="Z22" s="37">
        <f t="shared" si="7"/>
        <v>22370</v>
      </c>
      <c r="AA22" s="74">
        <v>7</v>
      </c>
      <c r="AB22" s="74">
        <v>0</v>
      </c>
      <c r="AC22" s="65"/>
      <c r="AD22" s="74">
        <v>6</v>
      </c>
      <c r="AE22" s="74">
        <v>0.5</v>
      </c>
      <c r="AF22" s="23"/>
      <c r="AG22" s="23"/>
    </row>
    <row r="23" spans="1:35" ht="17.25" customHeight="1" x14ac:dyDescent="0.3">
      <c r="A23" s="72">
        <f t="shared" si="8"/>
        <v>16</v>
      </c>
      <c r="B23" s="18">
        <v>101992537901</v>
      </c>
      <c r="C23" s="19" t="s">
        <v>27</v>
      </c>
      <c r="D23" s="19"/>
      <c r="E23" s="93" t="s">
        <v>159</v>
      </c>
      <c r="F23" s="15" t="s">
        <v>160</v>
      </c>
      <c r="G23" s="17" t="s">
        <v>161</v>
      </c>
      <c r="H23" s="33">
        <v>243</v>
      </c>
      <c r="I23" s="95">
        <v>30</v>
      </c>
      <c r="J23" s="21">
        <v>31</v>
      </c>
      <c r="K23" s="10">
        <v>16800</v>
      </c>
      <c r="L23" s="10">
        <v>13440</v>
      </c>
      <c r="M23" s="10">
        <v>3360</v>
      </c>
      <c r="N23" s="5">
        <f t="shared" si="0"/>
        <v>33600</v>
      </c>
      <c r="O23" s="11">
        <f t="shared" si="1"/>
        <v>33600</v>
      </c>
      <c r="P23" s="34">
        <f t="shared" si="2"/>
        <v>17360</v>
      </c>
      <c r="Q23" s="34">
        <f t="shared" si="3"/>
        <v>13888</v>
      </c>
      <c r="R23" s="34">
        <f t="shared" si="4"/>
        <v>3472</v>
      </c>
      <c r="S23" s="11"/>
      <c r="T23" s="35">
        <f t="shared" si="5"/>
        <v>34720</v>
      </c>
      <c r="U23" s="20">
        <f t="shared" si="9"/>
        <v>1860</v>
      </c>
      <c r="V23" s="43">
        <v>0</v>
      </c>
      <c r="W23" s="12"/>
      <c r="X23" s="6"/>
      <c r="Y23" s="3">
        <f t="shared" si="6"/>
        <v>1860</v>
      </c>
      <c r="Z23" s="37">
        <f t="shared" si="7"/>
        <v>32860</v>
      </c>
      <c r="AA23" s="74">
        <v>13</v>
      </c>
      <c r="AB23" s="74">
        <v>0</v>
      </c>
      <c r="AC23" s="65"/>
      <c r="AD23" s="74">
        <v>12</v>
      </c>
      <c r="AE23" s="74">
        <v>0.5</v>
      </c>
      <c r="AF23" s="23"/>
      <c r="AG23" s="23"/>
    </row>
    <row r="24" spans="1:35" ht="17.25" customHeight="1" x14ac:dyDescent="0.3">
      <c r="A24" s="72">
        <f t="shared" si="8"/>
        <v>17</v>
      </c>
      <c r="B24" s="18">
        <v>102129344574</v>
      </c>
      <c r="C24" s="19">
        <v>6723949237</v>
      </c>
      <c r="D24" s="19"/>
      <c r="E24" s="93" t="s">
        <v>150</v>
      </c>
      <c r="F24" s="15" t="s">
        <v>151</v>
      </c>
      <c r="G24" s="17" t="s">
        <v>152</v>
      </c>
      <c r="H24" s="33">
        <v>260</v>
      </c>
      <c r="I24" s="95">
        <v>28</v>
      </c>
      <c r="J24" s="21">
        <v>29.5</v>
      </c>
      <c r="K24" s="10">
        <v>13580</v>
      </c>
      <c r="L24" s="10">
        <v>9600</v>
      </c>
      <c r="M24" s="10">
        <v>820</v>
      </c>
      <c r="N24" s="5">
        <f t="shared" si="0"/>
        <v>24000</v>
      </c>
      <c r="O24" s="11">
        <f t="shared" si="1"/>
        <v>24000</v>
      </c>
      <c r="P24" s="34">
        <f t="shared" si="2"/>
        <v>13354</v>
      </c>
      <c r="Q24" s="34">
        <f t="shared" si="3"/>
        <v>9440</v>
      </c>
      <c r="R24" s="34">
        <f t="shared" si="4"/>
        <v>806</v>
      </c>
      <c r="S24" s="11"/>
      <c r="T24" s="35">
        <f t="shared" si="5"/>
        <v>23600</v>
      </c>
      <c r="U24" s="20">
        <f t="shared" si="9"/>
        <v>1602</v>
      </c>
      <c r="V24" s="43">
        <v>0</v>
      </c>
      <c r="W24" s="12"/>
      <c r="X24" s="6"/>
      <c r="Y24" s="3">
        <f t="shared" si="6"/>
        <v>1602</v>
      </c>
      <c r="Z24" s="37">
        <f t="shared" si="7"/>
        <v>21998</v>
      </c>
      <c r="AA24" s="74">
        <v>0</v>
      </c>
      <c r="AB24" s="74">
        <v>0</v>
      </c>
      <c r="AC24" s="65"/>
      <c r="AD24" s="74">
        <v>0</v>
      </c>
      <c r="AE24" s="74">
        <v>0</v>
      </c>
      <c r="AF24" s="23"/>
      <c r="AG24" s="23"/>
    </row>
    <row r="25" spans="1:35" ht="17.25" customHeight="1" x14ac:dyDescent="0.3">
      <c r="A25" s="72">
        <f t="shared" si="8"/>
        <v>18</v>
      </c>
      <c r="B25" s="18">
        <v>101673000052</v>
      </c>
      <c r="C25" s="4">
        <v>6723949239</v>
      </c>
      <c r="D25" s="4"/>
      <c r="E25" s="91" t="s">
        <v>153</v>
      </c>
      <c r="F25" s="15" t="s">
        <v>154</v>
      </c>
      <c r="G25" s="59" t="s">
        <v>155</v>
      </c>
      <c r="H25" s="33">
        <v>263</v>
      </c>
      <c r="I25" s="95">
        <v>30</v>
      </c>
      <c r="J25" s="21">
        <v>30</v>
      </c>
      <c r="K25" s="10">
        <v>14000</v>
      </c>
      <c r="L25" s="10">
        <v>11200</v>
      </c>
      <c r="M25" s="10">
        <v>2800</v>
      </c>
      <c r="N25" s="5">
        <f t="shared" si="0"/>
        <v>28000</v>
      </c>
      <c r="O25" s="11">
        <f t="shared" si="1"/>
        <v>28000</v>
      </c>
      <c r="P25" s="34">
        <f t="shared" si="2"/>
        <v>14000</v>
      </c>
      <c r="Q25" s="34">
        <f t="shared" si="3"/>
        <v>11200</v>
      </c>
      <c r="R25" s="34">
        <f t="shared" si="4"/>
        <v>2800</v>
      </c>
      <c r="S25" s="11"/>
      <c r="T25" s="35">
        <f t="shared" si="5"/>
        <v>28000</v>
      </c>
      <c r="U25" s="20">
        <f t="shared" si="9"/>
        <v>1680</v>
      </c>
      <c r="V25" s="43">
        <v>0</v>
      </c>
      <c r="W25" s="10"/>
      <c r="X25" s="6"/>
      <c r="Y25" s="3">
        <f t="shared" si="6"/>
        <v>1680</v>
      </c>
      <c r="Z25" s="37">
        <f t="shared" si="7"/>
        <v>26320</v>
      </c>
      <c r="AA25" s="74">
        <v>2</v>
      </c>
      <c r="AB25" s="74">
        <v>1</v>
      </c>
      <c r="AC25" s="65"/>
      <c r="AD25" s="74">
        <v>1</v>
      </c>
      <c r="AE25" s="74">
        <v>0.5</v>
      </c>
      <c r="AF25" s="23"/>
      <c r="AG25" s="23"/>
    </row>
    <row r="26" spans="1:35" ht="17.25" customHeight="1" x14ac:dyDescent="0.3">
      <c r="A26" s="72">
        <f t="shared" si="8"/>
        <v>19</v>
      </c>
      <c r="B26" s="18">
        <v>101769344293</v>
      </c>
      <c r="C26" s="19" t="s">
        <v>27</v>
      </c>
      <c r="D26" s="19"/>
      <c r="E26" s="93" t="s">
        <v>147</v>
      </c>
      <c r="F26" s="15" t="s">
        <v>148</v>
      </c>
      <c r="G26" s="17" t="s">
        <v>149</v>
      </c>
      <c r="H26" s="33">
        <v>271</v>
      </c>
      <c r="I26" s="95">
        <v>29</v>
      </c>
      <c r="J26" s="21">
        <v>30</v>
      </c>
      <c r="K26" s="10">
        <v>22500</v>
      </c>
      <c r="L26" s="10">
        <v>18000</v>
      </c>
      <c r="M26" s="10">
        <v>4500</v>
      </c>
      <c r="N26" s="5">
        <f t="shared" si="0"/>
        <v>45000</v>
      </c>
      <c r="O26" s="11">
        <f t="shared" si="1"/>
        <v>45000</v>
      </c>
      <c r="P26" s="34">
        <f t="shared" si="2"/>
        <v>22500</v>
      </c>
      <c r="Q26" s="34">
        <f t="shared" si="3"/>
        <v>18000</v>
      </c>
      <c r="R26" s="34">
        <f t="shared" si="4"/>
        <v>4500</v>
      </c>
      <c r="S26" s="11"/>
      <c r="T26" s="35">
        <f t="shared" si="5"/>
        <v>45000</v>
      </c>
      <c r="U26" s="20">
        <f t="shared" si="9"/>
        <v>1800</v>
      </c>
      <c r="V26" s="43">
        <v>0</v>
      </c>
      <c r="W26" s="12"/>
      <c r="X26" s="6"/>
      <c r="Y26" s="3">
        <f t="shared" si="6"/>
        <v>1800</v>
      </c>
      <c r="Z26" s="37">
        <f t="shared" si="7"/>
        <v>43200</v>
      </c>
      <c r="AA26" s="74">
        <v>24</v>
      </c>
      <c r="AB26" s="74">
        <v>1</v>
      </c>
      <c r="AC26" s="65"/>
      <c r="AD26" s="74">
        <v>23</v>
      </c>
      <c r="AE26" s="74">
        <v>1.5</v>
      </c>
      <c r="AF26" s="23"/>
      <c r="AG26" s="23"/>
    </row>
    <row r="27" spans="1:35" ht="17.25" customHeight="1" x14ac:dyDescent="0.3">
      <c r="A27" s="72">
        <f t="shared" si="8"/>
        <v>20</v>
      </c>
      <c r="B27" s="18">
        <v>102129344588</v>
      </c>
      <c r="C27" s="4" t="s">
        <v>27</v>
      </c>
      <c r="D27" s="19"/>
      <c r="E27" s="93" t="s">
        <v>144</v>
      </c>
      <c r="F27" s="15" t="s">
        <v>145</v>
      </c>
      <c r="G27" s="17" t="s">
        <v>146</v>
      </c>
      <c r="H27" s="33">
        <v>278</v>
      </c>
      <c r="I27" s="95">
        <v>30</v>
      </c>
      <c r="J27" s="21">
        <v>30</v>
      </c>
      <c r="K27" s="10">
        <v>18450</v>
      </c>
      <c r="L27" s="10">
        <v>14760</v>
      </c>
      <c r="M27" s="10">
        <v>3690</v>
      </c>
      <c r="N27" s="5">
        <f t="shared" si="0"/>
        <v>36900</v>
      </c>
      <c r="O27" s="11">
        <f t="shared" si="1"/>
        <v>36900</v>
      </c>
      <c r="P27" s="34">
        <f t="shared" si="2"/>
        <v>18450</v>
      </c>
      <c r="Q27" s="34">
        <f t="shared" si="3"/>
        <v>14760</v>
      </c>
      <c r="R27" s="34">
        <f t="shared" si="4"/>
        <v>3690</v>
      </c>
      <c r="S27" s="11"/>
      <c r="T27" s="35">
        <f t="shared" si="5"/>
        <v>36900</v>
      </c>
      <c r="U27" s="20">
        <f t="shared" si="9"/>
        <v>1800</v>
      </c>
      <c r="V27" s="60">
        <v>0</v>
      </c>
      <c r="W27" s="12"/>
      <c r="X27" s="6"/>
      <c r="Y27" s="3">
        <f t="shared" si="6"/>
        <v>1800</v>
      </c>
      <c r="Z27" s="37">
        <f t="shared" si="7"/>
        <v>35100</v>
      </c>
      <c r="AA27" s="74">
        <v>11</v>
      </c>
      <c r="AB27" s="74">
        <v>2</v>
      </c>
      <c r="AC27" s="65"/>
      <c r="AD27" s="74">
        <v>10</v>
      </c>
      <c r="AE27" s="74">
        <v>1.5</v>
      </c>
      <c r="AF27" s="23"/>
      <c r="AG27" s="23"/>
    </row>
    <row r="28" spans="1:35" ht="17.25" customHeight="1" x14ac:dyDescent="0.3">
      <c r="A28" s="72">
        <f t="shared" si="8"/>
        <v>21</v>
      </c>
      <c r="B28" s="18" t="s">
        <v>27</v>
      </c>
      <c r="C28" s="19" t="s">
        <v>27</v>
      </c>
      <c r="D28" s="19"/>
      <c r="E28" s="78" t="s">
        <v>135</v>
      </c>
      <c r="F28" s="15" t="s">
        <v>136</v>
      </c>
      <c r="G28" s="17" t="s">
        <v>137</v>
      </c>
      <c r="H28" s="33">
        <v>361</v>
      </c>
      <c r="I28" s="95">
        <v>30</v>
      </c>
      <c r="J28" s="21">
        <v>30</v>
      </c>
      <c r="K28" s="10">
        <v>66667</v>
      </c>
      <c r="L28" s="10">
        <v>53333</v>
      </c>
      <c r="M28" s="10">
        <v>13333</v>
      </c>
      <c r="N28" s="5">
        <f t="shared" si="0"/>
        <v>133333</v>
      </c>
      <c r="O28" s="11">
        <f t="shared" si="1"/>
        <v>133333</v>
      </c>
      <c r="P28" s="34">
        <f t="shared" si="2"/>
        <v>66667</v>
      </c>
      <c r="Q28" s="34">
        <f t="shared" si="3"/>
        <v>53333</v>
      </c>
      <c r="R28" s="34">
        <f t="shared" si="4"/>
        <v>13333</v>
      </c>
      <c r="S28" s="11"/>
      <c r="T28" s="35">
        <f t="shared" si="5"/>
        <v>133333</v>
      </c>
      <c r="U28" s="43">
        <v>0</v>
      </c>
      <c r="V28" s="43">
        <v>0</v>
      </c>
      <c r="W28" s="12"/>
      <c r="X28" s="6">
        <v>10000</v>
      </c>
      <c r="Y28" s="3">
        <f t="shared" si="6"/>
        <v>10000</v>
      </c>
      <c r="Z28" s="37">
        <f t="shared" si="7"/>
        <v>123333</v>
      </c>
      <c r="AA28" s="74">
        <v>23</v>
      </c>
      <c r="AB28" s="74">
        <v>2</v>
      </c>
      <c r="AC28" s="65"/>
      <c r="AD28" s="74">
        <v>22</v>
      </c>
      <c r="AE28" s="74">
        <v>1.5</v>
      </c>
      <c r="AF28" s="23"/>
      <c r="AG28" s="23"/>
    </row>
    <row r="29" spans="1:35" ht="17.25" customHeight="1" x14ac:dyDescent="0.3">
      <c r="A29" s="72">
        <f t="shared" si="8"/>
        <v>22</v>
      </c>
      <c r="B29" s="18">
        <v>101153919802</v>
      </c>
      <c r="C29" s="4" t="s">
        <v>27</v>
      </c>
      <c r="D29" s="4"/>
      <c r="E29" s="92" t="s">
        <v>138</v>
      </c>
      <c r="F29" s="15" t="s">
        <v>139</v>
      </c>
      <c r="G29" s="17" t="s">
        <v>140</v>
      </c>
      <c r="H29" s="33">
        <v>369</v>
      </c>
      <c r="I29" s="95">
        <v>30</v>
      </c>
      <c r="J29" s="21">
        <v>30</v>
      </c>
      <c r="K29" s="10">
        <v>16000</v>
      </c>
      <c r="L29" s="10">
        <v>12800</v>
      </c>
      <c r="M29" s="10">
        <v>3200</v>
      </c>
      <c r="N29" s="5">
        <f t="shared" si="0"/>
        <v>32000</v>
      </c>
      <c r="O29" s="11">
        <f t="shared" si="1"/>
        <v>32000</v>
      </c>
      <c r="P29" s="34">
        <f t="shared" si="2"/>
        <v>16000</v>
      </c>
      <c r="Q29" s="34">
        <f t="shared" si="3"/>
        <v>12800</v>
      </c>
      <c r="R29" s="34">
        <f t="shared" si="4"/>
        <v>3200</v>
      </c>
      <c r="S29" s="11"/>
      <c r="T29" s="35">
        <f t="shared" si="5"/>
        <v>32000</v>
      </c>
      <c r="U29" s="20">
        <f t="shared" ref="U29:U53" si="10">ROUND(IF(K29&gt;15000,(15000/$AC$3*J29)*12%,P29*12%)*1,0)</f>
        <v>1800</v>
      </c>
      <c r="V29" s="60">
        <v>0</v>
      </c>
      <c r="W29" s="12"/>
      <c r="X29" s="6"/>
      <c r="Y29" s="3">
        <f t="shared" si="6"/>
        <v>1800</v>
      </c>
      <c r="Z29" s="37">
        <f t="shared" si="7"/>
        <v>30200</v>
      </c>
      <c r="AA29" s="74">
        <v>25</v>
      </c>
      <c r="AB29" s="74">
        <v>1</v>
      </c>
      <c r="AC29" s="65"/>
      <c r="AD29" s="74">
        <v>24</v>
      </c>
      <c r="AE29" s="74">
        <v>0.5</v>
      </c>
      <c r="AF29" s="23"/>
      <c r="AG29" s="23"/>
    </row>
    <row r="30" spans="1:35" ht="17.25" customHeight="1" x14ac:dyDescent="0.3">
      <c r="A30" s="72">
        <f t="shared" si="8"/>
        <v>23</v>
      </c>
      <c r="B30" s="18">
        <v>102058705254</v>
      </c>
      <c r="C30" s="4" t="s">
        <v>27</v>
      </c>
      <c r="D30" s="4"/>
      <c r="E30" s="91" t="s">
        <v>124</v>
      </c>
      <c r="F30" s="15" t="s">
        <v>197</v>
      </c>
      <c r="G30" s="17" t="s">
        <v>125</v>
      </c>
      <c r="H30" s="33">
        <v>420</v>
      </c>
      <c r="I30" s="95">
        <v>30</v>
      </c>
      <c r="J30" s="21">
        <v>30</v>
      </c>
      <c r="K30" s="10">
        <v>18750</v>
      </c>
      <c r="L30" s="10">
        <v>15000</v>
      </c>
      <c r="M30" s="10">
        <v>3750</v>
      </c>
      <c r="N30" s="5">
        <f t="shared" si="0"/>
        <v>37500</v>
      </c>
      <c r="O30" s="11">
        <f t="shared" si="1"/>
        <v>37500</v>
      </c>
      <c r="P30" s="34">
        <f t="shared" si="2"/>
        <v>18750</v>
      </c>
      <c r="Q30" s="34">
        <f t="shared" si="3"/>
        <v>15000</v>
      </c>
      <c r="R30" s="34">
        <f t="shared" si="4"/>
        <v>3750</v>
      </c>
      <c r="S30" s="11"/>
      <c r="T30" s="35">
        <f t="shared" si="5"/>
        <v>37500</v>
      </c>
      <c r="U30" s="20">
        <f t="shared" si="10"/>
        <v>1800</v>
      </c>
      <c r="V30" s="60">
        <v>0</v>
      </c>
      <c r="W30" s="12"/>
      <c r="X30" s="6"/>
      <c r="Y30" s="3">
        <f t="shared" si="6"/>
        <v>1800</v>
      </c>
      <c r="Z30" s="76">
        <f t="shared" si="7"/>
        <v>35700</v>
      </c>
      <c r="AA30" s="74">
        <v>11.5</v>
      </c>
      <c r="AB30" s="74">
        <v>1</v>
      </c>
      <c r="AC30" s="65"/>
      <c r="AD30" s="74">
        <v>10.5</v>
      </c>
      <c r="AE30" s="74">
        <v>0.5</v>
      </c>
      <c r="AF30" s="23"/>
      <c r="AG30" s="23"/>
    </row>
    <row r="31" spans="1:35" ht="17.25" customHeight="1" x14ac:dyDescent="0.3">
      <c r="A31" s="72">
        <f t="shared" si="8"/>
        <v>24</v>
      </c>
      <c r="B31" s="18">
        <v>102058703785</v>
      </c>
      <c r="C31" s="4">
        <v>6723180170</v>
      </c>
      <c r="D31" s="4"/>
      <c r="E31" s="6" t="s">
        <v>121</v>
      </c>
      <c r="F31" s="16" t="s">
        <v>122</v>
      </c>
      <c r="G31" s="17" t="s">
        <v>123</v>
      </c>
      <c r="H31" s="33">
        <v>439</v>
      </c>
      <c r="I31" s="95">
        <v>30</v>
      </c>
      <c r="J31" s="21">
        <v>30</v>
      </c>
      <c r="K31" s="10">
        <v>13580</v>
      </c>
      <c r="L31" s="10">
        <v>4420</v>
      </c>
      <c r="M31" s="10">
        <v>0</v>
      </c>
      <c r="N31" s="5">
        <f t="shared" si="0"/>
        <v>18000</v>
      </c>
      <c r="O31" s="11">
        <f t="shared" si="1"/>
        <v>18000</v>
      </c>
      <c r="P31" s="34">
        <f t="shared" si="2"/>
        <v>13580</v>
      </c>
      <c r="Q31" s="34">
        <f t="shared" si="3"/>
        <v>4420</v>
      </c>
      <c r="R31" s="34">
        <f t="shared" si="4"/>
        <v>0</v>
      </c>
      <c r="S31" s="11"/>
      <c r="T31" s="35">
        <f t="shared" si="5"/>
        <v>18000</v>
      </c>
      <c r="U31" s="20">
        <f t="shared" si="10"/>
        <v>1630</v>
      </c>
      <c r="V31" s="24">
        <f>ROUNDUP(T31*0.75%,0)</f>
        <v>135</v>
      </c>
      <c r="W31" s="12"/>
      <c r="X31" s="6"/>
      <c r="Y31" s="3">
        <f t="shared" si="6"/>
        <v>1765</v>
      </c>
      <c r="Z31" s="37">
        <f t="shared" si="7"/>
        <v>16235</v>
      </c>
      <c r="AA31" s="74">
        <v>7</v>
      </c>
      <c r="AB31" s="74">
        <v>2</v>
      </c>
      <c r="AC31" s="65"/>
      <c r="AD31" s="74">
        <v>6</v>
      </c>
      <c r="AE31" s="74">
        <v>1.5</v>
      </c>
      <c r="AF31" s="23"/>
      <c r="AG31" s="23"/>
    </row>
    <row r="32" spans="1:35" ht="17.25" customHeight="1" x14ac:dyDescent="0.3">
      <c r="A32" s="72">
        <f t="shared" si="8"/>
        <v>25</v>
      </c>
      <c r="B32" s="18">
        <v>102058705296</v>
      </c>
      <c r="C32" s="4" t="s">
        <v>27</v>
      </c>
      <c r="D32" s="4"/>
      <c r="E32" s="91" t="s">
        <v>126</v>
      </c>
      <c r="F32" s="15" t="s">
        <v>127</v>
      </c>
      <c r="G32" s="17" t="s">
        <v>128</v>
      </c>
      <c r="H32" s="33">
        <v>448</v>
      </c>
      <c r="I32" s="95">
        <v>30</v>
      </c>
      <c r="J32" s="21">
        <v>30</v>
      </c>
      <c r="K32" s="10">
        <v>21000</v>
      </c>
      <c r="L32" s="10">
        <v>16800</v>
      </c>
      <c r="M32" s="10">
        <v>4200</v>
      </c>
      <c r="N32" s="5">
        <f t="shared" si="0"/>
        <v>42000</v>
      </c>
      <c r="O32" s="11">
        <f t="shared" si="1"/>
        <v>42000</v>
      </c>
      <c r="P32" s="34">
        <f t="shared" si="2"/>
        <v>21000</v>
      </c>
      <c r="Q32" s="34">
        <f t="shared" si="3"/>
        <v>16800</v>
      </c>
      <c r="R32" s="34">
        <f t="shared" si="4"/>
        <v>4200</v>
      </c>
      <c r="S32" s="11"/>
      <c r="T32" s="35">
        <f t="shared" si="5"/>
        <v>42000</v>
      </c>
      <c r="U32" s="20">
        <f t="shared" si="10"/>
        <v>1800</v>
      </c>
      <c r="V32" s="60">
        <v>0</v>
      </c>
      <c r="W32" s="12"/>
      <c r="X32" s="6"/>
      <c r="Y32" s="3">
        <f t="shared" si="6"/>
        <v>1800</v>
      </c>
      <c r="Z32" s="37">
        <f t="shared" si="7"/>
        <v>40200</v>
      </c>
      <c r="AA32" s="74">
        <v>30</v>
      </c>
      <c r="AB32" s="74">
        <v>2</v>
      </c>
      <c r="AC32" s="65"/>
      <c r="AD32" s="74">
        <v>29</v>
      </c>
      <c r="AE32" s="74">
        <v>1.5</v>
      </c>
      <c r="AF32" s="23"/>
      <c r="AG32" s="23"/>
    </row>
    <row r="33" spans="1:35" ht="17.25" customHeight="1" x14ac:dyDescent="0.3">
      <c r="A33" s="72">
        <f t="shared" si="8"/>
        <v>26</v>
      </c>
      <c r="B33" s="3">
        <v>102012549985</v>
      </c>
      <c r="C33" s="4">
        <v>6722778906</v>
      </c>
      <c r="D33" s="4"/>
      <c r="E33" s="92" t="s">
        <v>29</v>
      </c>
      <c r="F33" s="16" t="s">
        <v>116</v>
      </c>
      <c r="G33" s="17" t="s">
        <v>117</v>
      </c>
      <c r="H33" s="33">
        <v>499</v>
      </c>
      <c r="I33" s="95">
        <v>30</v>
      </c>
      <c r="J33" s="21">
        <v>30</v>
      </c>
      <c r="K33" s="10">
        <v>13580</v>
      </c>
      <c r="L33" s="10">
        <v>9700</v>
      </c>
      <c r="M33" s="10">
        <v>970</v>
      </c>
      <c r="N33" s="5">
        <f t="shared" si="0"/>
        <v>24250</v>
      </c>
      <c r="O33" s="11">
        <f t="shared" si="1"/>
        <v>24250</v>
      </c>
      <c r="P33" s="34">
        <f t="shared" si="2"/>
        <v>13580</v>
      </c>
      <c r="Q33" s="34">
        <f t="shared" si="3"/>
        <v>9700</v>
      </c>
      <c r="R33" s="34">
        <f t="shared" si="4"/>
        <v>970</v>
      </c>
      <c r="S33" s="11"/>
      <c r="T33" s="35">
        <f t="shared" si="5"/>
        <v>24250</v>
      </c>
      <c r="U33" s="20">
        <f t="shared" si="10"/>
        <v>1630</v>
      </c>
      <c r="V33" s="60">
        <v>0</v>
      </c>
      <c r="W33" s="12"/>
      <c r="X33" s="6"/>
      <c r="Y33" s="3">
        <f t="shared" si="6"/>
        <v>1630</v>
      </c>
      <c r="Z33" s="37">
        <f t="shared" si="7"/>
        <v>22620</v>
      </c>
      <c r="AA33" s="74">
        <v>27</v>
      </c>
      <c r="AB33" s="74">
        <v>1</v>
      </c>
      <c r="AC33" s="65"/>
      <c r="AD33" s="74">
        <v>26</v>
      </c>
      <c r="AE33" s="74">
        <v>0.5</v>
      </c>
      <c r="AF33" s="23"/>
      <c r="AG33" s="23"/>
    </row>
    <row r="34" spans="1:35" ht="17.25" customHeight="1" x14ac:dyDescent="0.3">
      <c r="A34" s="72">
        <f t="shared" si="8"/>
        <v>27</v>
      </c>
      <c r="B34" s="3">
        <v>102012550009</v>
      </c>
      <c r="C34" s="4" t="s">
        <v>27</v>
      </c>
      <c r="D34" s="4"/>
      <c r="E34" s="92" t="s">
        <v>114</v>
      </c>
      <c r="F34" s="16" t="s">
        <v>311</v>
      </c>
      <c r="G34" s="17" t="s">
        <v>115</v>
      </c>
      <c r="H34" s="33">
        <v>502</v>
      </c>
      <c r="I34" s="95">
        <v>20</v>
      </c>
      <c r="J34" s="21">
        <v>30</v>
      </c>
      <c r="K34" s="10">
        <v>17600</v>
      </c>
      <c r="L34" s="10">
        <v>14080</v>
      </c>
      <c r="M34" s="10">
        <v>3520</v>
      </c>
      <c r="N34" s="5">
        <f t="shared" si="0"/>
        <v>35200</v>
      </c>
      <c r="O34" s="11">
        <f t="shared" si="1"/>
        <v>35200</v>
      </c>
      <c r="P34" s="34">
        <f t="shared" si="2"/>
        <v>17600</v>
      </c>
      <c r="Q34" s="34">
        <f t="shared" si="3"/>
        <v>14080</v>
      </c>
      <c r="R34" s="34">
        <f t="shared" si="4"/>
        <v>3520</v>
      </c>
      <c r="S34" s="11"/>
      <c r="T34" s="35">
        <f t="shared" si="5"/>
        <v>35200</v>
      </c>
      <c r="U34" s="20">
        <f t="shared" si="10"/>
        <v>1800</v>
      </c>
      <c r="V34" s="60">
        <v>0</v>
      </c>
      <c r="W34" s="12"/>
      <c r="X34" s="6"/>
      <c r="Y34" s="3">
        <f t="shared" si="6"/>
        <v>1800</v>
      </c>
      <c r="Z34" s="37">
        <f t="shared" si="7"/>
        <v>33400</v>
      </c>
      <c r="AA34" s="74">
        <v>15</v>
      </c>
      <c r="AB34" s="74">
        <v>1</v>
      </c>
      <c r="AC34" s="65"/>
      <c r="AD34" s="74">
        <v>24</v>
      </c>
      <c r="AE34" s="74">
        <v>0.5</v>
      </c>
      <c r="AF34" s="23"/>
      <c r="AG34" s="23"/>
    </row>
    <row r="35" spans="1:35" ht="17.25" customHeight="1" x14ac:dyDescent="0.3">
      <c r="A35" s="72">
        <f t="shared" si="8"/>
        <v>28</v>
      </c>
      <c r="B35" s="3">
        <v>102012552436</v>
      </c>
      <c r="C35" s="4">
        <v>6722743379</v>
      </c>
      <c r="D35" s="4"/>
      <c r="E35" s="6" t="s">
        <v>111</v>
      </c>
      <c r="F35" s="16" t="s">
        <v>112</v>
      </c>
      <c r="G35" s="17" t="s">
        <v>113</v>
      </c>
      <c r="H35" s="33">
        <v>503</v>
      </c>
      <c r="I35" s="110">
        <v>29</v>
      </c>
      <c r="J35" s="68">
        <v>30</v>
      </c>
      <c r="K35" s="10">
        <v>13580</v>
      </c>
      <c r="L35" s="10">
        <v>9600</v>
      </c>
      <c r="M35" s="10">
        <v>820</v>
      </c>
      <c r="N35" s="5">
        <f t="shared" si="0"/>
        <v>24000</v>
      </c>
      <c r="O35" s="11">
        <f t="shared" si="1"/>
        <v>24000</v>
      </c>
      <c r="P35" s="34">
        <f t="shared" si="2"/>
        <v>13580</v>
      </c>
      <c r="Q35" s="34">
        <f t="shared" si="3"/>
        <v>9600</v>
      </c>
      <c r="R35" s="34">
        <f t="shared" si="4"/>
        <v>820</v>
      </c>
      <c r="S35" s="11"/>
      <c r="T35" s="35">
        <f t="shared" si="5"/>
        <v>24000</v>
      </c>
      <c r="U35" s="20">
        <f t="shared" si="10"/>
        <v>1630</v>
      </c>
      <c r="V35" s="60">
        <v>0</v>
      </c>
      <c r="W35" s="12"/>
      <c r="X35" s="6"/>
      <c r="Y35" s="3">
        <f t="shared" si="6"/>
        <v>1630</v>
      </c>
      <c r="Z35" s="37">
        <f t="shared" si="7"/>
        <v>22370</v>
      </c>
      <c r="AA35" s="74">
        <v>26</v>
      </c>
      <c r="AB35" s="74">
        <v>1</v>
      </c>
      <c r="AC35" s="65"/>
      <c r="AD35" s="74">
        <v>25</v>
      </c>
      <c r="AE35" s="74">
        <v>1.5</v>
      </c>
      <c r="AF35" s="23"/>
      <c r="AG35" s="23"/>
    </row>
    <row r="36" spans="1:35" ht="17.25" customHeight="1" x14ac:dyDescent="0.3">
      <c r="A36" s="72">
        <f t="shared" si="8"/>
        <v>29</v>
      </c>
      <c r="B36" s="18">
        <v>102002178338</v>
      </c>
      <c r="C36" s="4" t="s">
        <v>27</v>
      </c>
      <c r="D36" s="19"/>
      <c r="E36" s="92" t="s">
        <v>108</v>
      </c>
      <c r="F36" s="16" t="s">
        <v>109</v>
      </c>
      <c r="G36" s="17" t="s">
        <v>110</v>
      </c>
      <c r="H36" s="33">
        <v>525</v>
      </c>
      <c r="I36" s="110">
        <v>27</v>
      </c>
      <c r="J36" s="68">
        <v>30</v>
      </c>
      <c r="K36" s="10">
        <v>21725</v>
      </c>
      <c r="L36" s="10">
        <v>17380</v>
      </c>
      <c r="M36" s="10">
        <v>4345</v>
      </c>
      <c r="N36" s="5">
        <f t="shared" si="0"/>
        <v>43450</v>
      </c>
      <c r="O36" s="11">
        <f t="shared" si="1"/>
        <v>43450</v>
      </c>
      <c r="P36" s="34">
        <f t="shared" si="2"/>
        <v>21725</v>
      </c>
      <c r="Q36" s="34">
        <f t="shared" si="3"/>
        <v>17380</v>
      </c>
      <c r="R36" s="34">
        <f t="shared" si="4"/>
        <v>4345</v>
      </c>
      <c r="S36" s="11"/>
      <c r="T36" s="35">
        <f t="shared" si="5"/>
        <v>43450</v>
      </c>
      <c r="U36" s="20">
        <f t="shared" si="10"/>
        <v>1800</v>
      </c>
      <c r="V36" s="60">
        <v>0</v>
      </c>
      <c r="W36" s="12"/>
      <c r="X36" s="6"/>
      <c r="Y36" s="3">
        <f t="shared" si="6"/>
        <v>1800</v>
      </c>
      <c r="Z36" s="37">
        <f t="shared" si="7"/>
        <v>41650</v>
      </c>
      <c r="AA36" s="74">
        <v>22.5</v>
      </c>
      <c r="AB36" s="74">
        <v>0</v>
      </c>
      <c r="AC36" s="65"/>
      <c r="AD36" s="74">
        <v>22.5</v>
      </c>
      <c r="AE36" s="74">
        <v>1.5</v>
      </c>
      <c r="AF36" s="23"/>
      <c r="AG36" s="23"/>
    </row>
    <row r="37" spans="1:35" ht="17.25" customHeight="1" x14ac:dyDescent="0.3">
      <c r="A37" s="72">
        <f t="shared" si="8"/>
        <v>30</v>
      </c>
      <c r="B37" s="3">
        <v>101957033866</v>
      </c>
      <c r="C37" s="4" t="s">
        <v>27</v>
      </c>
      <c r="D37" s="4"/>
      <c r="E37" s="92" t="s">
        <v>102</v>
      </c>
      <c r="F37" s="16" t="s">
        <v>103</v>
      </c>
      <c r="G37" s="17" t="s">
        <v>104</v>
      </c>
      <c r="H37" s="33">
        <v>552</v>
      </c>
      <c r="I37" s="110">
        <v>27</v>
      </c>
      <c r="J37" s="21">
        <v>30</v>
      </c>
      <c r="K37" s="10">
        <v>26000</v>
      </c>
      <c r="L37" s="10">
        <v>20800</v>
      </c>
      <c r="M37" s="10">
        <v>5200</v>
      </c>
      <c r="N37" s="5">
        <f t="shared" si="0"/>
        <v>52000</v>
      </c>
      <c r="O37" s="11">
        <f t="shared" si="1"/>
        <v>52000</v>
      </c>
      <c r="P37" s="34">
        <f t="shared" si="2"/>
        <v>26000</v>
      </c>
      <c r="Q37" s="34">
        <f t="shared" si="3"/>
        <v>20800</v>
      </c>
      <c r="R37" s="34">
        <f t="shared" si="4"/>
        <v>5200</v>
      </c>
      <c r="S37" s="11"/>
      <c r="T37" s="35">
        <f t="shared" si="5"/>
        <v>52000</v>
      </c>
      <c r="U37" s="20">
        <f t="shared" si="10"/>
        <v>1800</v>
      </c>
      <c r="V37" s="44">
        <v>0</v>
      </c>
      <c r="W37" s="12"/>
      <c r="X37" s="6"/>
      <c r="Y37" s="3">
        <f t="shared" si="6"/>
        <v>1800</v>
      </c>
      <c r="Z37" s="37">
        <f t="shared" si="7"/>
        <v>50200</v>
      </c>
      <c r="AA37" s="74">
        <v>33.5</v>
      </c>
      <c r="AB37" s="74">
        <v>0</v>
      </c>
      <c r="AC37" s="65"/>
      <c r="AD37" s="74">
        <v>33.5</v>
      </c>
      <c r="AE37" s="74">
        <v>1.5</v>
      </c>
      <c r="AF37" s="23"/>
      <c r="AG37" s="23"/>
    </row>
    <row r="38" spans="1:35" ht="17.25" customHeight="1" x14ac:dyDescent="0.3">
      <c r="A38" s="72">
        <f t="shared" si="8"/>
        <v>31</v>
      </c>
      <c r="B38" s="3">
        <v>101839993306</v>
      </c>
      <c r="C38" s="4" t="s">
        <v>27</v>
      </c>
      <c r="D38" s="4"/>
      <c r="E38" s="92" t="s">
        <v>99</v>
      </c>
      <c r="F38" s="16" t="s">
        <v>100</v>
      </c>
      <c r="G38" s="17" t="s">
        <v>101</v>
      </c>
      <c r="H38" s="33">
        <v>553</v>
      </c>
      <c r="I38" s="110">
        <v>30</v>
      </c>
      <c r="J38" s="21">
        <v>30</v>
      </c>
      <c r="K38" s="10">
        <v>25500</v>
      </c>
      <c r="L38" s="10">
        <v>20400</v>
      </c>
      <c r="M38" s="10">
        <v>5100</v>
      </c>
      <c r="N38" s="5">
        <f t="shared" si="0"/>
        <v>51000</v>
      </c>
      <c r="O38" s="11">
        <f t="shared" si="1"/>
        <v>51000</v>
      </c>
      <c r="P38" s="34">
        <f t="shared" si="2"/>
        <v>25500</v>
      </c>
      <c r="Q38" s="34">
        <f t="shared" si="3"/>
        <v>20400</v>
      </c>
      <c r="R38" s="34">
        <f t="shared" si="4"/>
        <v>5100</v>
      </c>
      <c r="S38" s="11"/>
      <c r="T38" s="35">
        <f t="shared" si="5"/>
        <v>51000</v>
      </c>
      <c r="U38" s="20">
        <f t="shared" si="10"/>
        <v>1800</v>
      </c>
      <c r="V38" s="44">
        <v>0</v>
      </c>
      <c r="W38" s="12"/>
      <c r="X38" s="6"/>
      <c r="Y38" s="3">
        <f t="shared" si="6"/>
        <v>1800</v>
      </c>
      <c r="Z38" s="37">
        <f t="shared" si="7"/>
        <v>49200</v>
      </c>
      <c r="AA38" s="74">
        <v>36.5</v>
      </c>
      <c r="AB38" s="74">
        <v>2</v>
      </c>
      <c r="AC38" s="65"/>
      <c r="AD38" s="74">
        <v>35.5</v>
      </c>
      <c r="AE38" s="74">
        <v>1.5</v>
      </c>
      <c r="AF38" s="23"/>
      <c r="AG38" s="23"/>
    </row>
    <row r="39" spans="1:35" ht="17.25" customHeight="1" x14ac:dyDescent="0.3">
      <c r="A39" s="72">
        <f t="shared" si="8"/>
        <v>32</v>
      </c>
      <c r="B39" s="3">
        <v>100585976638</v>
      </c>
      <c r="C39" s="4" t="s">
        <v>27</v>
      </c>
      <c r="D39" s="4"/>
      <c r="E39" s="92" t="s">
        <v>96</v>
      </c>
      <c r="F39" s="16" t="s">
        <v>97</v>
      </c>
      <c r="G39" s="17" t="s">
        <v>98</v>
      </c>
      <c r="H39" s="33">
        <v>572</v>
      </c>
      <c r="I39" s="110">
        <v>29</v>
      </c>
      <c r="J39" s="21">
        <v>30</v>
      </c>
      <c r="K39" s="10">
        <v>19250</v>
      </c>
      <c r="L39" s="10">
        <v>15400</v>
      </c>
      <c r="M39" s="10">
        <v>3850</v>
      </c>
      <c r="N39" s="5">
        <f t="shared" si="0"/>
        <v>38500</v>
      </c>
      <c r="O39" s="11">
        <f t="shared" si="1"/>
        <v>38500</v>
      </c>
      <c r="P39" s="34">
        <f t="shared" si="2"/>
        <v>19250</v>
      </c>
      <c r="Q39" s="34">
        <f t="shared" si="3"/>
        <v>15400</v>
      </c>
      <c r="R39" s="34">
        <f t="shared" si="4"/>
        <v>3850</v>
      </c>
      <c r="S39" s="11"/>
      <c r="T39" s="35">
        <f t="shared" si="5"/>
        <v>38500</v>
      </c>
      <c r="U39" s="20">
        <f t="shared" si="10"/>
        <v>1800</v>
      </c>
      <c r="V39" s="44">
        <v>0</v>
      </c>
      <c r="W39" s="12"/>
      <c r="X39" s="6"/>
      <c r="Y39" s="3">
        <f t="shared" si="6"/>
        <v>1800</v>
      </c>
      <c r="Z39" s="76">
        <f t="shared" si="7"/>
        <v>36700</v>
      </c>
      <c r="AA39" s="74">
        <v>12</v>
      </c>
      <c r="AB39" s="74">
        <v>0</v>
      </c>
      <c r="AC39" s="65"/>
      <c r="AD39" s="74">
        <v>11</v>
      </c>
      <c r="AE39" s="74">
        <v>0.5</v>
      </c>
      <c r="AF39" s="23"/>
      <c r="AG39" s="23"/>
    </row>
    <row r="40" spans="1:35" ht="17.25" customHeight="1" x14ac:dyDescent="0.3">
      <c r="A40" s="72">
        <f t="shared" si="8"/>
        <v>33</v>
      </c>
      <c r="B40" s="18">
        <v>101547421315</v>
      </c>
      <c r="C40" s="4" t="s">
        <v>27</v>
      </c>
      <c r="D40" s="4"/>
      <c r="E40" s="92" t="s">
        <v>90</v>
      </c>
      <c r="F40" s="16" t="s">
        <v>91</v>
      </c>
      <c r="G40" s="17" t="s">
        <v>92</v>
      </c>
      <c r="H40" s="33">
        <v>585</v>
      </c>
      <c r="I40" s="110">
        <v>30</v>
      </c>
      <c r="J40" s="21">
        <v>30</v>
      </c>
      <c r="K40" s="10">
        <v>17400</v>
      </c>
      <c r="L40" s="10">
        <v>13920</v>
      </c>
      <c r="M40" s="10">
        <v>3480</v>
      </c>
      <c r="N40" s="5">
        <f t="shared" ref="N40:N71" si="11">K40+L40+M40</f>
        <v>34800</v>
      </c>
      <c r="O40" s="11">
        <f t="shared" ref="O40:O71" si="12">N40</f>
        <v>34800</v>
      </c>
      <c r="P40" s="34">
        <f t="shared" ref="P40:P71" si="13">ROUND(K40/$AC$3*J40,0)</f>
        <v>17400</v>
      </c>
      <c r="Q40" s="34">
        <f t="shared" ref="Q40:Q71" si="14">ROUND(L40/$AC$3*J40,0)</f>
        <v>13920</v>
      </c>
      <c r="R40" s="34">
        <f t="shared" ref="R40:R71" si="15">ROUND(M40/$AC$3*J40,0)</f>
        <v>3480</v>
      </c>
      <c r="S40" s="11"/>
      <c r="T40" s="35">
        <f t="shared" ref="T40:T71" si="16">P40+Q40+R40</f>
        <v>34800</v>
      </c>
      <c r="U40" s="20">
        <f t="shared" si="10"/>
        <v>1800</v>
      </c>
      <c r="V40" s="44">
        <v>0</v>
      </c>
      <c r="W40" s="12"/>
      <c r="X40" s="6"/>
      <c r="Y40" s="3">
        <f t="shared" ref="Y40:Y71" si="17">U40+V40+W40+X40</f>
        <v>1800</v>
      </c>
      <c r="Z40" s="37">
        <f t="shared" ref="Z40:Z71" si="18">T40-Y40</f>
        <v>33000</v>
      </c>
      <c r="AA40" s="74">
        <v>11</v>
      </c>
      <c r="AB40" s="74">
        <v>1.5</v>
      </c>
      <c r="AC40" s="65"/>
      <c r="AD40" s="74">
        <v>10</v>
      </c>
      <c r="AE40" s="74">
        <v>1</v>
      </c>
      <c r="AF40" s="23"/>
      <c r="AG40" s="23"/>
    </row>
    <row r="41" spans="1:35" ht="17.25" customHeight="1" x14ac:dyDescent="0.3">
      <c r="A41" s="72">
        <f t="shared" ref="A41:A72" si="19">A40+1</f>
        <v>34</v>
      </c>
      <c r="B41" s="18">
        <v>101915855725</v>
      </c>
      <c r="C41" s="4" t="s">
        <v>27</v>
      </c>
      <c r="D41" s="4"/>
      <c r="E41" s="92" t="s">
        <v>93</v>
      </c>
      <c r="F41" s="112" t="s">
        <v>94</v>
      </c>
      <c r="G41" s="113" t="s">
        <v>95</v>
      </c>
      <c r="H41" s="109">
        <v>588</v>
      </c>
      <c r="I41" s="114">
        <v>0</v>
      </c>
      <c r="J41" s="103">
        <v>26.5</v>
      </c>
      <c r="K41" s="104">
        <v>19000</v>
      </c>
      <c r="L41" s="10">
        <v>15200</v>
      </c>
      <c r="M41" s="10">
        <v>3800</v>
      </c>
      <c r="N41" s="5">
        <f t="shared" si="11"/>
        <v>38000</v>
      </c>
      <c r="O41" s="11">
        <f t="shared" si="12"/>
        <v>38000</v>
      </c>
      <c r="P41" s="34">
        <f t="shared" si="13"/>
        <v>16783</v>
      </c>
      <c r="Q41" s="34">
        <f t="shared" si="14"/>
        <v>13427</v>
      </c>
      <c r="R41" s="34">
        <f t="shared" si="15"/>
        <v>3357</v>
      </c>
      <c r="S41" s="11"/>
      <c r="T41" s="35">
        <f t="shared" si="16"/>
        <v>33567</v>
      </c>
      <c r="U41" s="20">
        <f t="shared" si="10"/>
        <v>1590</v>
      </c>
      <c r="V41" s="44">
        <v>0</v>
      </c>
      <c r="W41" s="12"/>
      <c r="X41" s="6"/>
      <c r="Y41" s="3">
        <f t="shared" si="17"/>
        <v>1590</v>
      </c>
      <c r="Z41" s="37">
        <f t="shared" si="18"/>
        <v>31977</v>
      </c>
      <c r="AA41" s="74">
        <v>0</v>
      </c>
      <c r="AB41" s="74">
        <v>0</v>
      </c>
      <c r="AC41" s="65"/>
      <c r="AD41" s="74">
        <v>25</v>
      </c>
      <c r="AE41" s="74">
        <v>1.5</v>
      </c>
      <c r="AF41" s="23"/>
      <c r="AG41" s="23"/>
    </row>
    <row r="42" spans="1:35" ht="17.25" customHeight="1" x14ac:dyDescent="0.3">
      <c r="A42" s="72">
        <f t="shared" si="19"/>
        <v>35</v>
      </c>
      <c r="B42" s="18">
        <v>101905875052</v>
      </c>
      <c r="C42" s="4" t="s">
        <v>27</v>
      </c>
      <c r="D42" s="4"/>
      <c r="E42" s="91" t="s">
        <v>84</v>
      </c>
      <c r="F42" s="14" t="s">
        <v>85</v>
      </c>
      <c r="G42" s="9" t="s">
        <v>86</v>
      </c>
      <c r="H42" s="33">
        <v>592</v>
      </c>
      <c r="I42" s="96">
        <v>30</v>
      </c>
      <c r="J42" s="21">
        <v>30</v>
      </c>
      <c r="K42" s="10">
        <v>16500</v>
      </c>
      <c r="L42" s="10">
        <v>13200</v>
      </c>
      <c r="M42" s="10">
        <v>3300</v>
      </c>
      <c r="N42" s="5">
        <f t="shared" si="11"/>
        <v>33000</v>
      </c>
      <c r="O42" s="11">
        <f t="shared" si="12"/>
        <v>33000</v>
      </c>
      <c r="P42" s="34">
        <f t="shared" si="13"/>
        <v>16500</v>
      </c>
      <c r="Q42" s="34">
        <f t="shared" si="14"/>
        <v>13200</v>
      </c>
      <c r="R42" s="34">
        <f t="shared" si="15"/>
        <v>3300</v>
      </c>
      <c r="S42" s="11"/>
      <c r="T42" s="35">
        <f t="shared" si="16"/>
        <v>33000</v>
      </c>
      <c r="U42" s="20">
        <f t="shared" si="10"/>
        <v>1800</v>
      </c>
      <c r="V42" s="44">
        <v>0</v>
      </c>
      <c r="W42" s="12"/>
      <c r="X42" s="6"/>
      <c r="Y42" s="3">
        <f t="shared" si="17"/>
        <v>1800</v>
      </c>
      <c r="Z42" s="37">
        <f t="shared" si="18"/>
        <v>31200</v>
      </c>
      <c r="AA42" s="74">
        <v>19</v>
      </c>
      <c r="AB42" s="74">
        <v>2</v>
      </c>
      <c r="AC42" s="65"/>
      <c r="AD42" s="74">
        <v>18</v>
      </c>
      <c r="AE42" s="74">
        <v>1.5</v>
      </c>
      <c r="AF42" s="23"/>
      <c r="AG42" s="23"/>
    </row>
    <row r="43" spans="1:35" ht="17.25" customHeight="1" x14ac:dyDescent="0.3">
      <c r="A43" s="72">
        <f t="shared" si="19"/>
        <v>36</v>
      </c>
      <c r="B43" s="18">
        <v>101895209729</v>
      </c>
      <c r="C43" s="4" t="s">
        <v>27</v>
      </c>
      <c r="D43" s="4"/>
      <c r="E43" s="91" t="s">
        <v>81</v>
      </c>
      <c r="F43" s="14" t="s">
        <v>82</v>
      </c>
      <c r="G43" s="9" t="s">
        <v>83</v>
      </c>
      <c r="H43" s="33">
        <v>595</v>
      </c>
      <c r="I43" s="96">
        <v>30</v>
      </c>
      <c r="J43" s="21">
        <v>30</v>
      </c>
      <c r="K43" s="10">
        <v>18217</v>
      </c>
      <c r="L43" s="10">
        <v>14573</v>
      </c>
      <c r="M43" s="10">
        <v>3643</v>
      </c>
      <c r="N43" s="5">
        <f t="shared" si="11"/>
        <v>36433</v>
      </c>
      <c r="O43" s="11">
        <f t="shared" si="12"/>
        <v>36433</v>
      </c>
      <c r="P43" s="34">
        <f t="shared" si="13"/>
        <v>18217</v>
      </c>
      <c r="Q43" s="34">
        <f t="shared" si="14"/>
        <v>14573</v>
      </c>
      <c r="R43" s="34">
        <f t="shared" si="15"/>
        <v>3643</v>
      </c>
      <c r="S43" s="11"/>
      <c r="T43" s="35">
        <f t="shared" si="16"/>
        <v>36433</v>
      </c>
      <c r="U43" s="20">
        <f t="shared" si="10"/>
        <v>1800</v>
      </c>
      <c r="V43" s="44">
        <v>0</v>
      </c>
      <c r="W43" s="12"/>
      <c r="X43" s="6"/>
      <c r="Y43" s="3">
        <f t="shared" si="17"/>
        <v>1800</v>
      </c>
      <c r="Z43" s="37">
        <f t="shared" si="18"/>
        <v>34633</v>
      </c>
      <c r="AA43" s="74">
        <v>24</v>
      </c>
      <c r="AB43" s="74">
        <v>2</v>
      </c>
      <c r="AC43" s="65"/>
      <c r="AD43" s="74">
        <v>23</v>
      </c>
      <c r="AE43" s="74">
        <v>1.5</v>
      </c>
      <c r="AF43" s="23"/>
      <c r="AG43" s="23"/>
    </row>
    <row r="44" spans="1:35" ht="17.25" customHeight="1" x14ac:dyDescent="0.3">
      <c r="A44" s="72">
        <f t="shared" si="19"/>
        <v>37</v>
      </c>
      <c r="B44" s="18">
        <v>101884082848</v>
      </c>
      <c r="C44" s="4" t="s">
        <v>27</v>
      </c>
      <c r="D44" s="4"/>
      <c r="E44" s="91" t="s">
        <v>78</v>
      </c>
      <c r="F44" s="7" t="s">
        <v>79</v>
      </c>
      <c r="G44" s="9" t="s">
        <v>80</v>
      </c>
      <c r="H44" s="33">
        <v>596</v>
      </c>
      <c r="I44" s="110">
        <v>30</v>
      </c>
      <c r="J44" s="21">
        <v>30</v>
      </c>
      <c r="K44" s="10">
        <v>19000</v>
      </c>
      <c r="L44" s="10">
        <v>15200</v>
      </c>
      <c r="M44" s="10">
        <v>3800</v>
      </c>
      <c r="N44" s="5">
        <f t="shared" si="11"/>
        <v>38000</v>
      </c>
      <c r="O44" s="11">
        <f t="shared" si="12"/>
        <v>38000</v>
      </c>
      <c r="P44" s="34">
        <f t="shared" si="13"/>
        <v>19000</v>
      </c>
      <c r="Q44" s="34">
        <f t="shared" si="14"/>
        <v>15200</v>
      </c>
      <c r="R44" s="34">
        <f t="shared" si="15"/>
        <v>3800</v>
      </c>
      <c r="S44" s="11"/>
      <c r="T44" s="35">
        <f t="shared" si="16"/>
        <v>38000</v>
      </c>
      <c r="U44" s="20">
        <f t="shared" si="10"/>
        <v>1800</v>
      </c>
      <c r="V44" s="44">
        <v>0</v>
      </c>
      <c r="W44" s="12"/>
      <c r="X44" s="6"/>
      <c r="Y44" s="3">
        <f t="shared" si="17"/>
        <v>1800</v>
      </c>
      <c r="Z44" s="37">
        <f t="shared" si="18"/>
        <v>36200</v>
      </c>
      <c r="AA44" s="74">
        <v>16</v>
      </c>
      <c r="AB44" s="74">
        <v>2</v>
      </c>
      <c r="AC44" s="65"/>
      <c r="AD44" s="74">
        <v>15</v>
      </c>
      <c r="AE44" s="74">
        <v>1.5</v>
      </c>
      <c r="AF44" s="23"/>
      <c r="AG44" s="23"/>
    </row>
    <row r="45" spans="1:35" s="57" customFormat="1" ht="17.25" customHeight="1" x14ac:dyDescent="0.3">
      <c r="A45" s="72">
        <f t="shared" si="19"/>
        <v>38</v>
      </c>
      <c r="B45" s="18">
        <v>101884082830</v>
      </c>
      <c r="C45" s="4" t="s">
        <v>27</v>
      </c>
      <c r="D45" s="4"/>
      <c r="E45" s="91" t="s">
        <v>75</v>
      </c>
      <c r="F45" s="7" t="s">
        <v>76</v>
      </c>
      <c r="G45" s="9" t="s">
        <v>77</v>
      </c>
      <c r="H45" s="33">
        <v>599</v>
      </c>
      <c r="I45" s="110">
        <v>30</v>
      </c>
      <c r="J45" s="21">
        <v>30</v>
      </c>
      <c r="K45" s="10">
        <v>15000</v>
      </c>
      <c r="L45" s="10">
        <v>12000</v>
      </c>
      <c r="M45" s="10">
        <v>3000</v>
      </c>
      <c r="N45" s="5">
        <f t="shared" si="11"/>
        <v>30000</v>
      </c>
      <c r="O45" s="11">
        <f t="shared" si="12"/>
        <v>30000</v>
      </c>
      <c r="P45" s="34">
        <f t="shared" si="13"/>
        <v>15000</v>
      </c>
      <c r="Q45" s="34">
        <f t="shared" si="14"/>
        <v>12000</v>
      </c>
      <c r="R45" s="34">
        <f t="shared" si="15"/>
        <v>3000</v>
      </c>
      <c r="S45" s="11"/>
      <c r="T45" s="35">
        <f t="shared" si="16"/>
        <v>30000</v>
      </c>
      <c r="U45" s="20">
        <f t="shared" si="10"/>
        <v>1800</v>
      </c>
      <c r="V45" s="44">
        <v>0</v>
      </c>
      <c r="W45" s="12"/>
      <c r="X45" s="6"/>
      <c r="Y45" s="3">
        <f t="shared" si="17"/>
        <v>1800</v>
      </c>
      <c r="Z45" s="37">
        <f t="shared" si="18"/>
        <v>28200</v>
      </c>
      <c r="AA45" s="74">
        <v>44</v>
      </c>
      <c r="AB45" s="74">
        <v>2</v>
      </c>
      <c r="AC45" s="65"/>
      <c r="AD45" s="74">
        <v>43</v>
      </c>
      <c r="AE45" s="74">
        <v>1.5</v>
      </c>
      <c r="AF45" s="23"/>
      <c r="AG45" s="23"/>
      <c r="AI45" s="116"/>
    </row>
    <row r="46" spans="1:35" ht="17.25" customHeight="1" x14ac:dyDescent="0.3">
      <c r="A46" s="72">
        <f t="shared" si="19"/>
        <v>39</v>
      </c>
      <c r="B46" s="3">
        <v>101862920593</v>
      </c>
      <c r="C46" s="4" t="s">
        <v>27</v>
      </c>
      <c r="D46" s="4"/>
      <c r="E46" s="90" t="s">
        <v>61</v>
      </c>
      <c r="F46" s="7" t="s">
        <v>62</v>
      </c>
      <c r="G46" s="9" t="s">
        <v>63</v>
      </c>
      <c r="H46" s="33">
        <v>624</v>
      </c>
      <c r="I46" s="110">
        <v>28.5</v>
      </c>
      <c r="J46" s="21">
        <v>30</v>
      </c>
      <c r="K46" s="10">
        <v>23314</v>
      </c>
      <c r="L46" s="10">
        <v>18651</v>
      </c>
      <c r="M46" s="10">
        <v>4663</v>
      </c>
      <c r="N46" s="5">
        <f t="shared" si="11"/>
        <v>46628</v>
      </c>
      <c r="O46" s="11">
        <f t="shared" si="12"/>
        <v>46628</v>
      </c>
      <c r="P46" s="34">
        <f t="shared" si="13"/>
        <v>23314</v>
      </c>
      <c r="Q46" s="34">
        <f t="shared" si="14"/>
        <v>18651</v>
      </c>
      <c r="R46" s="34">
        <f t="shared" si="15"/>
        <v>4663</v>
      </c>
      <c r="S46" s="11"/>
      <c r="T46" s="35">
        <f t="shared" si="16"/>
        <v>46628</v>
      </c>
      <c r="U46" s="20">
        <f t="shared" si="10"/>
        <v>1800</v>
      </c>
      <c r="V46" s="44">
        <v>0</v>
      </c>
      <c r="W46" s="36"/>
      <c r="X46" s="58"/>
      <c r="Y46" s="3">
        <f t="shared" si="17"/>
        <v>1800</v>
      </c>
      <c r="Z46" s="37">
        <f t="shared" si="18"/>
        <v>44828</v>
      </c>
      <c r="AA46" s="74">
        <v>0</v>
      </c>
      <c r="AB46" s="74">
        <v>0</v>
      </c>
      <c r="AC46" s="65"/>
      <c r="AD46" s="74">
        <v>0</v>
      </c>
      <c r="AE46" s="74">
        <v>0</v>
      </c>
      <c r="AF46" s="23"/>
      <c r="AG46" s="23"/>
    </row>
    <row r="47" spans="1:35" s="135" customFormat="1" ht="17.25" customHeight="1" x14ac:dyDescent="0.3">
      <c r="A47" s="118">
        <f t="shared" si="19"/>
        <v>40</v>
      </c>
      <c r="B47" s="119">
        <v>101862920564</v>
      </c>
      <c r="C47" s="119" t="s">
        <v>27</v>
      </c>
      <c r="D47" s="119"/>
      <c r="E47" s="160" t="s">
        <v>64</v>
      </c>
      <c r="F47" s="161" t="s">
        <v>65</v>
      </c>
      <c r="G47" s="162" t="s">
        <v>28</v>
      </c>
      <c r="H47" s="88">
        <v>625</v>
      </c>
      <c r="I47" s="163">
        <v>28</v>
      </c>
      <c r="J47" s="89">
        <v>30</v>
      </c>
      <c r="K47" s="12">
        <v>19149</v>
      </c>
      <c r="L47" s="12">
        <v>15319</v>
      </c>
      <c r="M47" s="12">
        <v>3829</v>
      </c>
      <c r="N47" s="125">
        <f t="shared" si="11"/>
        <v>38297</v>
      </c>
      <c r="O47" s="126">
        <f t="shared" si="12"/>
        <v>38297</v>
      </c>
      <c r="P47" s="127">
        <f t="shared" si="13"/>
        <v>19149</v>
      </c>
      <c r="Q47" s="127">
        <f t="shared" si="14"/>
        <v>15319</v>
      </c>
      <c r="R47" s="127">
        <f t="shared" si="15"/>
        <v>3829</v>
      </c>
      <c r="S47" s="126"/>
      <c r="T47" s="128">
        <f t="shared" si="16"/>
        <v>38297</v>
      </c>
      <c r="U47" s="129">
        <f t="shared" si="10"/>
        <v>1800</v>
      </c>
      <c r="V47" s="164">
        <v>0</v>
      </c>
      <c r="W47" s="12"/>
      <c r="X47" s="39"/>
      <c r="Y47" s="131">
        <f t="shared" si="17"/>
        <v>1800</v>
      </c>
      <c r="Z47" s="132">
        <f t="shared" si="18"/>
        <v>36497</v>
      </c>
      <c r="AA47" s="133">
        <v>21</v>
      </c>
      <c r="AB47" s="133">
        <v>0.5</v>
      </c>
      <c r="AC47" s="134"/>
      <c r="AD47" s="133">
        <v>21</v>
      </c>
      <c r="AE47" s="133">
        <v>1</v>
      </c>
      <c r="AF47" s="141"/>
      <c r="AG47" s="141"/>
      <c r="AI47" s="136"/>
    </row>
    <row r="48" spans="1:35" ht="17.25" customHeight="1" x14ac:dyDescent="0.3">
      <c r="A48" s="72">
        <f t="shared" si="19"/>
        <v>41</v>
      </c>
      <c r="B48" s="18">
        <v>101862920586</v>
      </c>
      <c r="C48" s="4" t="s">
        <v>27</v>
      </c>
      <c r="D48" s="4"/>
      <c r="E48" s="91" t="s">
        <v>66</v>
      </c>
      <c r="F48" s="7" t="s">
        <v>67</v>
      </c>
      <c r="G48" s="9" t="s">
        <v>68</v>
      </c>
      <c r="H48" s="33">
        <v>641</v>
      </c>
      <c r="I48" s="110">
        <v>28</v>
      </c>
      <c r="J48" s="21">
        <v>30</v>
      </c>
      <c r="K48" s="10">
        <v>22923</v>
      </c>
      <c r="L48" s="10">
        <v>18338</v>
      </c>
      <c r="M48" s="10">
        <v>4584</v>
      </c>
      <c r="N48" s="5">
        <f t="shared" si="11"/>
        <v>45845</v>
      </c>
      <c r="O48" s="11">
        <f t="shared" si="12"/>
        <v>45845</v>
      </c>
      <c r="P48" s="34">
        <f t="shared" si="13"/>
        <v>22923</v>
      </c>
      <c r="Q48" s="34">
        <f t="shared" si="14"/>
        <v>18338</v>
      </c>
      <c r="R48" s="34">
        <f t="shared" si="15"/>
        <v>4584</v>
      </c>
      <c r="S48" s="11"/>
      <c r="T48" s="35">
        <f t="shared" si="16"/>
        <v>45845</v>
      </c>
      <c r="U48" s="20">
        <f t="shared" si="10"/>
        <v>1800</v>
      </c>
      <c r="V48" s="44">
        <v>0</v>
      </c>
      <c r="W48" s="12"/>
      <c r="X48" s="6"/>
      <c r="Y48" s="3">
        <f t="shared" si="17"/>
        <v>1800</v>
      </c>
      <c r="Z48" s="76">
        <f t="shared" si="18"/>
        <v>44045</v>
      </c>
      <c r="AA48" s="74">
        <v>13</v>
      </c>
      <c r="AB48" s="74">
        <v>0.5</v>
      </c>
      <c r="AC48" s="65"/>
      <c r="AD48" s="74">
        <v>13</v>
      </c>
      <c r="AE48" s="74">
        <v>1</v>
      </c>
      <c r="AF48" s="23"/>
      <c r="AG48" s="23"/>
    </row>
    <row r="49" spans="1:35" ht="17.25" customHeight="1" x14ac:dyDescent="0.3">
      <c r="A49" s="72">
        <f t="shared" si="19"/>
        <v>42</v>
      </c>
      <c r="B49" s="18">
        <v>101825348834</v>
      </c>
      <c r="C49" s="4" t="s">
        <v>27</v>
      </c>
      <c r="D49" s="4"/>
      <c r="E49" s="90" t="s">
        <v>58</v>
      </c>
      <c r="F49" s="7" t="s">
        <v>59</v>
      </c>
      <c r="G49" s="8" t="s">
        <v>60</v>
      </c>
      <c r="H49" s="33">
        <v>648</v>
      </c>
      <c r="I49" s="110">
        <v>30</v>
      </c>
      <c r="J49" s="21">
        <v>30</v>
      </c>
      <c r="K49" s="10">
        <v>22000</v>
      </c>
      <c r="L49" s="10">
        <v>17600</v>
      </c>
      <c r="M49" s="10">
        <v>4400</v>
      </c>
      <c r="N49" s="5">
        <f t="shared" si="11"/>
        <v>44000</v>
      </c>
      <c r="O49" s="11">
        <f t="shared" si="12"/>
        <v>44000</v>
      </c>
      <c r="P49" s="34">
        <f t="shared" si="13"/>
        <v>22000</v>
      </c>
      <c r="Q49" s="34">
        <f t="shared" si="14"/>
        <v>17600</v>
      </c>
      <c r="R49" s="34">
        <f t="shared" si="15"/>
        <v>4400</v>
      </c>
      <c r="S49" s="11"/>
      <c r="T49" s="35">
        <f t="shared" si="16"/>
        <v>44000</v>
      </c>
      <c r="U49" s="20">
        <f t="shared" si="10"/>
        <v>1800</v>
      </c>
      <c r="V49" s="44">
        <v>0</v>
      </c>
      <c r="W49" s="39"/>
      <c r="X49" s="6"/>
      <c r="Y49" s="3">
        <f t="shared" si="17"/>
        <v>1800</v>
      </c>
      <c r="Z49" s="37">
        <f t="shared" si="18"/>
        <v>42200</v>
      </c>
      <c r="AA49" s="74">
        <v>56.5</v>
      </c>
      <c r="AB49" s="74">
        <v>2</v>
      </c>
      <c r="AC49" s="65"/>
      <c r="AD49" s="74">
        <v>55.5</v>
      </c>
      <c r="AE49" s="74">
        <v>1.5</v>
      </c>
      <c r="AF49" s="23"/>
      <c r="AG49" s="23"/>
    </row>
    <row r="50" spans="1:35" ht="17.25" customHeight="1" x14ac:dyDescent="0.3">
      <c r="A50" s="72">
        <f t="shared" si="19"/>
        <v>43</v>
      </c>
      <c r="B50" s="18">
        <v>101708027602</v>
      </c>
      <c r="C50" s="4" t="s">
        <v>27</v>
      </c>
      <c r="D50" s="4"/>
      <c r="E50" s="90" t="s">
        <v>52</v>
      </c>
      <c r="F50" s="7" t="s">
        <v>53</v>
      </c>
      <c r="G50" s="8" t="s">
        <v>54</v>
      </c>
      <c r="H50" s="33">
        <v>675</v>
      </c>
      <c r="I50" s="110">
        <v>29.5</v>
      </c>
      <c r="J50" s="21">
        <v>30</v>
      </c>
      <c r="K50" s="10">
        <v>27300</v>
      </c>
      <c r="L50" s="10">
        <v>21840</v>
      </c>
      <c r="M50" s="10">
        <v>5460</v>
      </c>
      <c r="N50" s="5">
        <f t="shared" si="11"/>
        <v>54600</v>
      </c>
      <c r="O50" s="11">
        <f t="shared" si="12"/>
        <v>54600</v>
      </c>
      <c r="P50" s="34">
        <f t="shared" si="13"/>
        <v>27300</v>
      </c>
      <c r="Q50" s="34">
        <f t="shared" si="14"/>
        <v>21840</v>
      </c>
      <c r="R50" s="34">
        <f t="shared" si="15"/>
        <v>5460</v>
      </c>
      <c r="S50" s="11"/>
      <c r="T50" s="35">
        <f t="shared" si="16"/>
        <v>54600</v>
      </c>
      <c r="U50" s="20">
        <f t="shared" si="10"/>
        <v>1800</v>
      </c>
      <c r="V50" s="44">
        <v>0</v>
      </c>
      <c r="W50" s="12"/>
      <c r="X50" s="6"/>
      <c r="Y50" s="3">
        <f t="shared" si="17"/>
        <v>1800</v>
      </c>
      <c r="Z50" s="37">
        <f t="shared" si="18"/>
        <v>52800</v>
      </c>
      <c r="AA50" s="74">
        <v>19</v>
      </c>
      <c r="AB50" s="74">
        <v>1</v>
      </c>
      <c r="AC50" s="65"/>
      <c r="AD50" s="74">
        <v>18</v>
      </c>
      <c r="AE50" s="74">
        <v>1</v>
      </c>
      <c r="AF50" s="23"/>
      <c r="AG50" s="23"/>
    </row>
    <row r="51" spans="1:35" s="135" customFormat="1" ht="17.25" customHeight="1" x14ac:dyDescent="0.3">
      <c r="A51" s="118">
        <f t="shared" si="19"/>
        <v>44</v>
      </c>
      <c r="B51" s="119">
        <v>101742184637</v>
      </c>
      <c r="C51" s="119" t="s">
        <v>27</v>
      </c>
      <c r="D51" s="119"/>
      <c r="E51" s="165" t="s">
        <v>43</v>
      </c>
      <c r="F51" s="161" t="s">
        <v>44</v>
      </c>
      <c r="G51" s="166" t="s">
        <v>45</v>
      </c>
      <c r="H51" s="88">
        <v>679</v>
      </c>
      <c r="I51" s="163">
        <v>30</v>
      </c>
      <c r="J51" s="89">
        <v>30</v>
      </c>
      <c r="K51" s="12">
        <v>34917</v>
      </c>
      <c r="L51" s="12">
        <v>27934</v>
      </c>
      <c r="M51" s="12">
        <v>6983</v>
      </c>
      <c r="N51" s="125">
        <f t="shared" si="11"/>
        <v>69834</v>
      </c>
      <c r="O51" s="126">
        <f t="shared" si="12"/>
        <v>69834</v>
      </c>
      <c r="P51" s="127">
        <f t="shared" si="13"/>
        <v>34917</v>
      </c>
      <c r="Q51" s="127">
        <f t="shared" si="14"/>
        <v>27934</v>
      </c>
      <c r="R51" s="127">
        <f t="shared" si="15"/>
        <v>6983</v>
      </c>
      <c r="S51" s="126"/>
      <c r="T51" s="128">
        <f t="shared" si="16"/>
        <v>69834</v>
      </c>
      <c r="U51" s="129">
        <f t="shared" si="10"/>
        <v>1800</v>
      </c>
      <c r="V51" s="164">
        <v>0</v>
      </c>
      <c r="W51" s="12"/>
      <c r="X51" s="39"/>
      <c r="Y51" s="131">
        <f t="shared" si="17"/>
        <v>1800</v>
      </c>
      <c r="Z51" s="132">
        <f t="shared" si="18"/>
        <v>68034</v>
      </c>
      <c r="AA51" s="133">
        <v>35</v>
      </c>
      <c r="AB51" s="133">
        <v>2</v>
      </c>
      <c r="AC51" s="134"/>
      <c r="AD51" s="133">
        <v>34</v>
      </c>
      <c r="AE51" s="133">
        <v>1.5</v>
      </c>
      <c r="AF51" s="141"/>
      <c r="AG51" s="141"/>
      <c r="AI51" s="136"/>
    </row>
    <row r="52" spans="1:35" ht="17.25" customHeight="1" x14ac:dyDescent="0.3">
      <c r="A52" s="72">
        <f t="shared" si="19"/>
        <v>45</v>
      </c>
      <c r="B52" s="18">
        <v>101742184628</v>
      </c>
      <c r="C52" s="4" t="s">
        <v>27</v>
      </c>
      <c r="D52" s="4"/>
      <c r="E52" s="90" t="s">
        <v>46</v>
      </c>
      <c r="F52" s="7" t="s">
        <v>47</v>
      </c>
      <c r="G52" s="8" t="s">
        <v>48</v>
      </c>
      <c r="H52" s="33">
        <v>686</v>
      </c>
      <c r="I52" s="110">
        <v>29.5</v>
      </c>
      <c r="J52" s="21">
        <v>30</v>
      </c>
      <c r="K52" s="10">
        <v>22765</v>
      </c>
      <c r="L52" s="10">
        <v>18212</v>
      </c>
      <c r="M52" s="10">
        <v>4553</v>
      </c>
      <c r="N52" s="5">
        <f t="shared" si="11"/>
        <v>45530</v>
      </c>
      <c r="O52" s="11">
        <f t="shared" si="12"/>
        <v>45530</v>
      </c>
      <c r="P52" s="34">
        <f t="shared" si="13"/>
        <v>22765</v>
      </c>
      <c r="Q52" s="34">
        <f t="shared" si="14"/>
        <v>18212</v>
      </c>
      <c r="R52" s="34">
        <f t="shared" si="15"/>
        <v>4553</v>
      </c>
      <c r="S52" s="11"/>
      <c r="T52" s="35">
        <f t="shared" si="16"/>
        <v>45530</v>
      </c>
      <c r="U52" s="20">
        <f t="shared" si="10"/>
        <v>1800</v>
      </c>
      <c r="V52" s="44">
        <v>0</v>
      </c>
      <c r="W52" s="12"/>
      <c r="X52" s="6"/>
      <c r="Y52" s="3">
        <f t="shared" si="17"/>
        <v>1800</v>
      </c>
      <c r="Z52" s="37">
        <f t="shared" si="18"/>
        <v>43730</v>
      </c>
      <c r="AA52" s="74">
        <v>2</v>
      </c>
      <c r="AB52" s="74">
        <v>0.5</v>
      </c>
      <c r="AC52" s="65"/>
      <c r="AD52" s="74">
        <v>1</v>
      </c>
      <c r="AE52" s="74">
        <v>0.5</v>
      </c>
      <c r="AF52" s="23"/>
      <c r="AG52" s="23"/>
    </row>
    <row r="53" spans="1:35" ht="17.25" customHeight="1" x14ac:dyDescent="0.3">
      <c r="A53" s="72">
        <f t="shared" si="19"/>
        <v>46</v>
      </c>
      <c r="B53" s="18">
        <v>101339765220</v>
      </c>
      <c r="C53" s="4" t="s">
        <v>27</v>
      </c>
      <c r="D53" s="4"/>
      <c r="E53" s="90" t="s">
        <v>38</v>
      </c>
      <c r="F53" s="7" t="s">
        <v>39</v>
      </c>
      <c r="G53" s="9" t="s">
        <v>31</v>
      </c>
      <c r="H53" s="33">
        <v>698</v>
      </c>
      <c r="I53" s="110">
        <v>29.5</v>
      </c>
      <c r="J53" s="21">
        <v>30</v>
      </c>
      <c r="K53" s="10">
        <v>26800</v>
      </c>
      <c r="L53" s="10">
        <v>21440</v>
      </c>
      <c r="M53" s="10">
        <v>5360</v>
      </c>
      <c r="N53" s="5">
        <f t="shared" si="11"/>
        <v>53600</v>
      </c>
      <c r="O53" s="11">
        <f t="shared" si="12"/>
        <v>53600</v>
      </c>
      <c r="P53" s="34">
        <f t="shared" si="13"/>
        <v>26800</v>
      </c>
      <c r="Q53" s="34">
        <f t="shared" si="14"/>
        <v>21440</v>
      </c>
      <c r="R53" s="34">
        <f t="shared" si="15"/>
        <v>5360</v>
      </c>
      <c r="S53" s="11"/>
      <c r="T53" s="35">
        <f t="shared" si="16"/>
        <v>53600</v>
      </c>
      <c r="U53" s="20">
        <f t="shared" si="10"/>
        <v>1800</v>
      </c>
      <c r="V53" s="44">
        <v>0</v>
      </c>
      <c r="W53" s="12"/>
      <c r="X53" s="6"/>
      <c r="Y53" s="3">
        <f t="shared" si="17"/>
        <v>1800</v>
      </c>
      <c r="Z53" s="76">
        <f t="shared" si="18"/>
        <v>51800</v>
      </c>
      <c r="AA53" s="74">
        <v>21</v>
      </c>
      <c r="AB53" s="74">
        <v>0.5</v>
      </c>
      <c r="AC53" s="65"/>
      <c r="AD53" s="74">
        <v>20</v>
      </c>
      <c r="AE53" s="74">
        <v>0.5</v>
      </c>
      <c r="AF53" s="23"/>
      <c r="AG53" s="23"/>
    </row>
    <row r="54" spans="1:35" ht="17.25" customHeight="1" x14ac:dyDescent="0.3">
      <c r="A54" s="72">
        <f t="shared" si="19"/>
        <v>47</v>
      </c>
      <c r="B54" s="3" t="s">
        <v>27</v>
      </c>
      <c r="C54" s="4" t="s">
        <v>27</v>
      </c>
      <c r="D54" s="4"/>
      <c r="E54" s="90" t="s">
        <v>32</v>
      </c>
      <c r="F54" s="7" t="s">
        <v>33</v>
      </c>
      <c r="G54" s="9" t="s">
        <v>34</v>
      </c>
      <c r="H54" s="33">
        <v>718</v>
      </c>
      <c r="I54" s="110">
        <v>30</v>
      </c>
      <c r="J54" s="21">
        <v>30</v>
      </c>
      <c r="K54" s="10">
        <v>80500</v>
      </c>
      <c r="L54" s="10">
        <v>64400</v>
      </c>
      <c r="M54" s="10">
        <v>16100</v>
      </c>
      <c r="N54" s="5">
        <f t="shared" si="11"/>
        <v>161000</v>
      </c>
      <c r="O54" s="11">
        <f t="shared" si="12"/>
        <v>161000</v>
      </c>
      <c r="P54" s="34">
        <f t="shared" si="13"/>
        <v>80500</v>
      </c>
      <c r="Q54" s="34">
        <f t="shared" si="14"/>
        <v>64400</v>
      </c>
      <c r="R54" s="34">
        <f t="shared" si="15"/>
        <v>16100</v>
      </c>
      <c r="S54" s="11"/>
      <c r="T54" s="35">
        <f t="shared" si="16"/>
        <v>161000</v>
      </c>
      <c r="U54" s="42">
        <v>0</v>
      </c>
      <c r="V54" s="45">
        <v>0</v>
      </c>
      <c r="W54" s="12"/>
      <c r="X54" s="6">
        <v>15000</v>
      </c>
      <c r="Y54" s="3">
        <f t="shared" si="17"/>
        <v>15000</v>
      </c>
      <c r="Z54" s="76">
        <f t="shared" si="18"/>
        <v>146000</v>
      </c>
      <c r="AA54" s="74">
        <v>15</v>
      </c>
      <c r="AB54" s="74">
        <v>1</v>
      </c>
      <c r="AC54" s="65"/>
      <c r="AD54" s="74">
        <v>14</v>
      </c>
      <c r="AE54" s="74">
        <v>0.5</v>
      </c>
      <c r="AF54" s="23"/>
      <c r="AG54" s="23"/>
    </row>
    <row r="55" spans="1:35" ht="17.25" customHeight="1" x14ac:dyDescent="0.3">
      <c r="A55" s="72">
        <f t="shared" si="19"/>
        <v>48</v>
      </c>
      <c r="B55" s="18">
        <v>101254789601</v>
      </c>
      <c r="C55" s="4">
        <v>6720605197</v>
      </c>
      <c r="D55" s="4"/>
      <c r="E55" s="90" t="s">
        <v>49</v>
      </c>
      <c r="F55" s="7" t="s">
        <v>50</v>
      </c>
      <c r="G55" s="8" t="s">
        <v>51</v>
      </c>
      <c r="H55" s="33">
        <v>721</v>
      </c>
      <c r="I55" s="110">
        <v>29</v>
      </c>
      <c r="J55" s="21">
        <v>30</v>
      </c>
      <c r="K55" s="10">
        <v>13700</v>
      </c>
      <c r="L55" s="10">
        <v>10960</v>
      </c>
      <c r="M55" s="10">
        <v>2740</v>
      </c>
      <c r="N55" s="5">
        <f t="shared" si="11"/>
        <v>27400</v>
      </c>
      <c r="O55" s="11">
        <f t="shared" si="12"/>
        <v>27400</v>
      </c>
      <c r="P55" s="34">
        <f t="shared" si="13"/>
        <v>13700</v>
      </c>
      <c r="Q55" s="34">
        <f t="shared" si="14"/>
        <v>10960</v>
      </c>
      <c r="R55" s="34">
        <f t="shared" si="15"/>
        <v>2740</v>
      </c>
      <c r="S55" s="11"/>
      <c r="T55" s="35">
        <f t="shared" si="16"/>
        <v>27400</v>
      </c>
      <c r="U55" s="20">
        <f>ROUND(IF(K55&gt;15000,(15000/$AC$3*J55)*12%,P55*12%)*1,0)</f>
        <v>1644</v>
      </c>
      <c r="V55" s="45">
        <v>0</v>
      </c>
      <c r="W55" s="12"/>
      <c r="X55" s="6"/>
      <c r="Y55" s="3">
        <f t="shared" si="17"/>
        <v>1644</v>
      </c>
      <c r="Z55" s="76">
        <f t="shared" si="18"/>
        <v>25756</v>
      </c>
      <c r="AA55" s="74">
        <v>19</v>
      </c>
      <c r="AB55" s="74">
        <v>1</v>
      </c>
      <c r="AC55" s="65"/>
      <c r="AD55" s="74">
        <v>18</v>
      </c>
      <c r="AE55" s="74">
        <v>1.5</v>
      </c>
      <c r="AF55" s="23"/>
      <c r="AG55" s="23"/>
    </row>
    <row r="56" spans="1:35" ht="17.25" customHeight="1" x14ac:dyDescent="0.3">
      <c r="A56" s="72">
        <f t="shared" si="19"/>
        <v>49</v>
      </c>
      <c r="B56" s="18">
        <v>102092204039</v>
      </c>
      <c r="C56" s="19" t="s">
        <v>27</v>
      </c>
      <c r="D56" s="19"/>
      <c r="E56" s="91" t="s">
        <v>132</v>
      </c>
      <c r="F56" s="15" t="s">
        <v>133</v>
      </c>
      <c r="G56" s="17" t="s">
        <v>134</v>
      </c>
      <c r="H56" s="33">
        <v>787</v>
      </c>
      <c r="I56" s="95">
        <v>30</v>
      </c>
      <c r="J56" s="21">
        <v>30</v>
      </c>
      <c r="K56" s="10">
        <v>19500</v>
      </c>
      <c r="L56" s="10">
        <v>15600</v>
      </c>
      <c r="M56" s="10">
        <v>3900</v>
      </c>
      <c r="N56" s="5">
        <f t="shared" si="11"/>
        <v>39000</v>
      </c>
      <c r="O56" s="11">
        <f t="shared" si="12"/>
        <v>39000</v>
      </c>
      <c r="P56" s="34">
        <f t="shared" si="13"/>
        <v>19500</v>
      </c>
      <c r="Q56" s="34">
        <f t="shared" si="14"/>
        <v>15600</v>
      </c>
      <c r="R56" s="34">
        <f t="shared" si="15"/>
        <v>3900</v>
      </c>
      <c r="S56" s="11"/>
      <c r="T56" s="35">
        <f t="shared" si="16"/>
        <v>39000</v>
      </c>
      <c r="U56" s="20">
        <f>ROUND(IF(K56&gt;15000,(15000/$AC$3*J56)*12%,P56*12%)*1,0)</f>
        <v>1800</v>
      </c>
      <c r="V56" s="44">
        <v>0</v>
      </c>
      <c r="W56" s="12"/>
      <c r="X56" s="6"/>
      <c r="Y56" s="3">
        <f t="shared" si="17"/>
        <v>1800</v>
      </c>
      <c r="Z56" s="37">
        <f t="shared" si="18"/>
        <v>37200</v>
      </c>
      <c r="AA56" s="74">
        <v>18</v>
      </c>
      <c r="AB56" s="74">
        <v>1</v>
      </c>
      <c r="AC56" s="65"/>
      <c r="AD56" s="74">
        <v>17</v>
      </c>
      <c r="AE56" s="74">
        <v>0.5</v>
      </c>
      <c r="AF56" s="23"/>
      <c r="AG56" s="23"/>
    </row>
    <row r="57" spans="1:35" ht="17.25" customHeight="1" x14ac:dyDescent="0.3">
      <c r="A57" s="72">
        <f t="shared" si="19"/>
        <v>50</v>
      </c>
      <c r="B57" s="3" t="s">
        <v>27</v>
      </c>
      <c r="C57" s="4" t="s">
        <v>27</v>
      </c>
      <c r="D57" s="4"/>
      <c r="E57" s="77" t="s">
        <v>35</v>
      </c>
      <c r="F57" s="38" t="s">
        <v>36</v>
      </c>
      <c r="G57" s="9" t="s">
        <v>37</v>
      </c>
      <c r="H57" s="33">
        <v>852</v>
      </c>
      <c r="I57" s="110">
        <v>30</v>
      </c>
      <c r="J57" s="61">
        <v>30</v>
      </c>
      <c r="K57" s="10">
        <v>100000</v>
      </c>
      <c r="L57" s="10">
        <v>80000</v>
      </c>
      <c r="M57" s="10">
        <v>20000</v>
      </c>
      <c r="N57" s="5">
        <f t="shared" si="11"/>
        <v>200000</v>
      </c>
      <c r="O57" s="11">
        <f t="shared" si="12"/>
        <v>200000</v>
      </c>
      <c r="P57" s="34">
        <f t="shared" si="13"/>
        <v>100000</v>
      </c>
      <c r="Q57" s="34">
        <f t="shared" si="14"/>
        <v>80000</v>
      </c>
      <c r="R57" s="34">
        <f t="shared" si="15"/>
        <v>20000</v>
      </c>
      <c r="S57" s="11"/>
      <c r="T57" s="35">
        <f t="shared" si="16"/>
        <v>200000</v>
      </c>
      <c r="U57" s="42">
        <v>0</v>
      </c>
      <c r="V57" s="45">
        <v>0</v>
      </c>
      <c r="W57" s="12"/>
      <c r="X57" s="6">
        <v>25000</v>
      </c>
      <c r="Y57" s="3">
        <f t="shared" si="17"/>
        <v>25000</v>
      </c>
      <c r="Z57" s="37">
        <f t="shared" si="18"/>
        <v>175000</v>
      </c>
      <c r="AA57" s="74">
        <v>2</v>
      </c>
      <c r="AB57" s="74">
        <v>1</v>
      </c>
      <c r="AC57" s="65"/>
      <c r="AD57" s="74">
        <v>1</v>
      </c>
      <c r="AE57" s="74">
        <v>0.5</v>
      </c>
      <c r="AF57" s="23"/>
      <c r="AG57" s="23"/>
    </row>
    <row r="58" spans="1:35" ht="17.25" customHeight="1" x14ac:dyDescent="0.3">
      <c r="A58" s="72">
        <f t="shared" si="19"/>
        <v>51</v>
      </c>
      <c r="B58" s="18" t="s">
        <v>27</v>
      </c>
      <c r="C58" s="4" t="s">
        <v>27</v>
      </c>
      <c r="D58" s="4"/>
      <c r="E58" s="91" t="s">
        <v>72</v>
      </c>
      <c r="F58" s="7" t="s">
        <v>73</v>
      </c>
      <c r="G58" s="9" t="s">
        <v>74</v>
      </c>
      <c r="H58" s="33">
        <v>855</v>
      </c>
      <c r="I58" s="110">
        <v>30</v>
      </c>
      <c r="J58" s="21">
        <v>30</v>
      </c>
      <c r="K58" s="10">
        <v>60000</v>
      </c>
      <c r="L58" s="10">
        <v>48000</v>
      </c>
      <c r="M58" s="10">
        <v>12000</v>
      </c>
      <c r="N58" s="5">
        <f t="shared" si="11"/>
        <v>120000</v>
      </c>
      <c r="O58" s="11">
        <f t="shared" si="12"/>
        <v>120000</v>
      </c>
      <c r="P58" s="34">
        <f t="shared" si="13"/>
        <v>60000</v>
      </c>
      <c r="Q58" s="34">
        <f t="shared" si="14"/>
        <v>48000</v>
      </c>
      <c r="R58" s="34">
        <f t="shared" si="15"/>
        <v>12000</v>
      </c>
      <c r="S58" s="11"/>
      <c r="T58" s="35">
        <f t="shared" si="16"/>
        <v>120000</v>
      </c>
      <c r="U58" s="42">
        <v>0</v>
      </c>
      <c r="V58" s="44">
        <v>0</v>
      </c>
      <c r="W58" s="12"/>
      <c r="X58" s="6"/>
      <c r="Y58" s="3">
        <f t="shared" si="17"/>
        <v>0</v>
      </c>
      <c r="Z58" s="76">
        <f t="shared" si="18"/>
        <v>120000</v>
      </c>
      <c r="AA58" s="74">
        <v>49.5</v>
      </c>
      <c r="AB58" s="74">
        <v>2</v>
      </c>
      <c r="AC58" s="65"/>
      <c r="AD58" s="74">
        <v>48.5</v>
      </c>
      <c r="AE58" s="74">
        <v>1.5</v>
      </c>
      <c r="AF58" s="23"/>
      <c r="AG58" s="23"/>
    </row>
    <row r="59" spans="1:35" ht="17.25" customHeight="1" x14ac:dyDescent="0.3">
      <c r="A59" s="72">
        <f t="shared" si="19"/>
        <v>52</v>
      </c>
      <c r="B59" s="18">
        <v>101873483281</v>
      </c>
      <c r="C59" s="19" t="s">
        <v>27</v>
      </c>
      <c r="D59" s="19"/>
      <c r="E59" s="91" t="s">
        <v>185</v>
      </c>
      <c r="F59" s="54" t="s">
        <v>186</v>
      </c>
      <c r="G59" s="17" t="s">
        <v>187</v>
      </c>
      <c r="H59" s="33">
        <v>858</v>
      </c>
      <c r="I59" s="110">
        <v>30</v>
      </c>
      <c r="J59" s="21">
        <v>30</v>
      </c>
      <c r="K59" s="10">
        <v>35000</v>
      </c>
      <c r="L59" s="10">
        <v>28000</v>
      </c>
      <c r="M59" s="10">
        <v>7000</v>
      </c>
      <c r="N59" s="5">
        <f t="shared" si="11"/>
        <v>70000</v>
      </c>
      <c r="O59" s="11">
        <f t="shared" si="12"/>
        <v>70000</v>
      </c>
      <c r="P59" s="34">
        <f t="shared" si="13"/>
        <v>35000</v>
      </c>
      <c r="Q59" s="34">
        <f t="shared" si="14"/>
        <v>28000</v>
      </c>
      <c r="R59" s="34">
        <f t="shared" si="15"/>
        <v>7000</v>
      </c>
      <c r="S59" s="11"/>
      <c r="T59" s="35">
        <f t="shared" si="16"/>
        <v>70000</v>
      </c>
      <c r="U59" s="20">
        <f t="shared" ref="U59:U70" si="20">ROUND(IF(K59&gt;15000,(15000/$AC$3*J59)*12%,P59*12%)*1,0)</f>
        <v>1800</v>
      </c>
      <c r="V59" s="43">
        <v>0</v>
      </c>
      <c r="W59" s="12"/>
      <c r="X59" s="6"/>
      <c r="Y59" s="3">
        <f t="shared" si="17"/>
        <v>1800</v>
      </c>
      <c r="Z59" s="37">
        <f t="shared" si="18"/>
        <v>68200</v>
      </c>
      <c r="AA59" s="74">
        <v>20</v>
      </c>
      <c r="AB59" s="74">
        <v>2</v>
      </c>
      <c r="AC59" s="65"/>
      <c r="AD59" s="74">
        <v>19</v>
      </c>
      <c r="AE59" s="74">
        <v>1.5</v>
      </c>
      <c r="AF59" s="23"/>
      <c r="AG59" s="23"/>
    </row>
    <row r="60" spans="1:35" ht="17.25" customHeight="1" x14ac:dyDescent="0.3">
      <c r="A60" s="72">
        <f t="shared" si="19"/>
        <v>53</v>
      </c>
      <c r="B60" s="18">
        <v>102195019018</v>
      </c>
      <c r="C60" s="19">
        <v>6724621933</v>
      </c>
      <c r="D60" s="19"/>
      <c r="E60" s="91" t="s">
        <v>189</v>
      </c>
      <c r="F60" s="54" t="s">
        <v>192</v>
      </c>
      <c r="G60" s="17" t="s">
        <v>195</v>
      </c>
      <c r="H60" s="33">
        <v>859</v>
      </c>
      <c r="I60" s="110">
        <v>30</v>
      </c>
      <c r="J60" s="21">
        <v>30</v>
      </c>
      <c r="K60" s="10">
        <v>13580</v>
      </c>
      <c r="L60" s="10">
        <v>8420</v>
      </c>
      <c r="M60" s="10">
        <v>0</v>
      </c>
      <c r="N60" s="5">
        <f t="shared" si="11"/>
        <v>22000</v>
      </c>
      <c r="O60" s="11">
        <f t="shared" si="12"/>
        <v>22000</v>
      </c>
      <c r="P60" s="34">
        <f t="shared" si="13"/>
        <v>13580</v>
      </c>
      <c r="Q60" s="34">
        <f t="shared" si="14"/>
        <v>8420</v>
      </c>
      <c r="R60" s="34">
        <f t="shared" si="15"/>
        <v>0</v>
      </c>
      <c r="S60" s="11"/>
      <c r="T60" s="35">
        <f t="shared" si="16"/>
        <v>22000</v>
      </c>
      <c r="U60" s="20">
        <f t="shared" si="20"/>
        <v>1630</v>
      </c>
      <c r="V60" s="43">
        <v>0</v>
      </c>
      <c r="W60" s="12"/>
      <c r="X60" s="6"/>
      <c r="Y60" s="3">
        <f t="shared" si="17"/>
        <v>1630</v>
      </c>
      <c r="Z60" s="37">
        <f t="shared" si="18"/>
        <v>20370</v>
      </c>
      <c r="AA60" s="74">
        <v>14</v>
      </c>
      <c r="AB60" s="74">
        <v>1.5</v>
      </c>
      <c r="AC60" s="65"/>
      <c r="AD60" s="74">
        <v>13</v>
      </c>
      <c r="AE60" s="74">
        <v>1</v>
      </c>
      <c r="AF60" s="23"/>
      <c r="AG60" s="23"/>
    </row>
    <row r="61" spans="1:35" ht="17.25" customHeight="1" x14ac:dyDescent="0.3">
      <c r="A61" s="72">
        <f t="shared" si="19"/>
        <v>54</v>
      </c>
      <c r="B61" s="18">
        <v>102084740869</v>
      </c>
      <c r="C61" s="19">
        <v>6724897791</v>
      </c>
      <c r="D61" s="19"/>
      <c r="E61" s="91" t="s">
        <v>215</v>
      </c>
      <c r="F61" s="54" t="s">
        <v>227</v>
      </c>
      <c r="G61" s="66" t="s">
        <v>239</v>
      </c>
      <c r="H61" s="33">
        <v>955</v>
      </c>
      <c r="I61" s="110">
        <v>27.5</v>
      </c>
      <c r="J61" s="21">
        <v>30</v>
      </c>
      <c r="K61" s="10">
        <v>13580</v>
      </c>
      <c r="L61" s="10">
        <v>8420</v>
      </c>
      <c r="M61" s="10">
        <v>0</v>
      </c>
      <c r="N61" s="5">
        <f t="shared" si="11"/>
        <v>22000</v>
      </c>
      <c r="O61" s="11">
        <f t="shared" si="12"/>
        <v>22000</v>
      </c>
      <c r="P61" s="34">
        <f t="shared" si="13"/>
        <v>13580</v>
      </c>
      <c r="Q61" s="34">
        <f t="shared" si="14"/>
        <v>8420</v>
      </c>
      <c r="R61" s="34">
        <f t="shared" si="15"/>
        <v>0</v>
      </c>
      <c r="S61" s="11"/>
      <c r="T61" s="35">
        <f t="shared" si="16"/>
        <v>22000</v>
      </c>
      <c r="U61" s="20">
        <f t="shared" si="20"/>
        <v>1630</v>
      </c>
      <c r="V61" s="43">
        <v>0</v>
      </c>
      <c r="W61" s="12"/>
      <c r="X61" s="6"/>
      <c r="Y61" s="3">
        <f t="shared" si="17"/>
        <v>1630</v>
      </c>
      <c r="Z61" s="37">
        <f t="shared" si="18"/>
        <v>20370</v>
      </c>
      <c r="AA61" s="74">
        <v>1.5</v>
      </c>
      <c r="AB61" s="74">
        <v>0</v>
      </c>
      <c r="AC61" s="65"/>
      <c r="AD61" s="74">
        <v>2</v>
      </c>
      <c r="AE61" s="74">
        <v>0.5</v>
      </c>
      <c r="AF61" s="23"/>
      <c r="AG61" s="23"/>
    </row>
    <row r="62" spans="1:35" ht="17.25" customHeight="1" x14ac:dyDescent="0.3">
      <c r="A62" s="72">
        <f t="shared" si="19"/>
        <v>55</v>
      </c>
      <c r="B62" s="18">
        <v>102182490100</v>
      </c>
      <c r="C62" s="19">
        <v>6724899101</v>
      </c>
      <c r="D62" s="19"/>
      <c r="E62" s="91" t="s">
        <v>223</v>
      </c>
      <c r="F62" s="54" t="s">
        <v>235</v>
      </c>
      <c r="G62" s="66" t="s">
        <v>246</v>
      </c>
      <c r="H62" s="33">
        <v>956</v>
      </c>
      <c r="I62" s="110">
        <v>29</v>
      </c>
      <c r="J62" s="21">
        <v>30</v>
      </c>
      <c r="K62" s="10">
        <v>13580</v>
      </c>
      <c r="L62" s="10">
        <v>10400</v>
      </c>
      <c r="M62" s="10">
        <v>2020</v>
      </c>
      <c r="N62" s="5">
        <f t="shared" si="11"/>
        <v>26000</v>
      </c>
      <c r="O62" s="11">
        <f t="shared" si="12"/>
        <v>26000</v>
      </c>
      <c r="P62" s="34">
        <f t="shared" si="13"/>
        <v>13580</v>
      </c>
      <c r="Q62" s="34">
        <f t="shared" si="14"/>
        <v>10400</v>
      </c>
      <c r="R62" s="34">
        <f t="shared" si="15"/>
        <v>2020</v>
      </c>
      <c r="S62" s="11"/>
      <c r="T62" s="35">
        <f t="shared" si="16"/>
        <v>26000</v>
      </c>
      <c r="U62" s="20">
        <f t="shared" si="20"/>
        <v>1630</v>
      </c>
      <c r="V62" s="69">
        <v>0</v>
      </c>
      <c r="W62" s="12"/>
      <c r="X62" s="6"/>
      <c r="Y62" s="3">
        <f t="shared" si="17"/>
        <v>1630</v>
      </c>
      <c r="Z62" s="37">
        <f t="shared" si="18"/>
        <v>24370</v>
      </c>
      <c r="AA62" s="74">
        <v>2</v>
      </c>
      <c r="AB62" s="74">
        <v>1</v>
      </c>
      <c r="AC62" s="65"/>
      <c r="AD62" s="74">
        <v>1</v>
      </c>
      <c r="AE62" s="74">
        <v>1.5</v>
      </c>
      <c r="AF62" s="23"/>
      <c r="AG62" s="23"/>
    </row>
    <row r="63" spans="1:35" ht="17.25" customHeight="1" x14ac:dyDescent="0.3">
      <c r="A63" s="72">
        <f t="shared" si="19"/>
        <v>56</v>
      </c>
      <c r="B63" s="18">
        <v>102228229148</v>
      </c>
      <c r="C63" s="19">
        <v>6724899108</v>
      </c>
      <c r="D63" s="19"/>
      <c r="E63" s="38" t="s">
        <v>226</v>
      </c>
      <c r="F63" s="54" t="s">
        <v>238</v>
      </c>
      <c r="G63" s="66" t="s">
        <v>249</v>
      </c>
      <c r="H63" s="33">
        <v>957</v>
      </c>
      <c r="I63" s="110">
        <v>30</v>
      </c>
      <c r="J63" s="21">
        <v>30</v>
      </c>
      <c r="K63" s="10">
        <v>13580</v>
      </c>
      <c r="L63" s="10">
        <v>1420</v>
      </c>
      <c r="M63" s="10">
        <v>0</v>
      </c>
      <c r="N63" s="5">
        <f t="shared" si="11"/>
        <v>15000</v>
      </c>
      <c r="O63" s="11">
        <f t="shared" si="12"/>
        <v>15000</v>
      </c>
      <c r="P63" s="34">
        <f t="shared" si="13"/>
        <v>13580</v>
      </c>
      <c r="Q63" s="34">
        <f t="shared" si="14"/>
        <v>1420</v>
      </c>
      <c r="R63" s="34">
        <f t="shared" si="15"/>
        <v>0</v>
      </c>
      <c r="S63" s="11"/>
      <c r="T63" s="35">
        <f t="shared" si="16"/>
        <v>15000</v>
      </c>
      <c r="U63" s="20">
        <f t="shared" si="20"/>
        <v>1630</v>
      </c>
      <c r="V63" s="24">
        <f>ROUNDUP(T63*0.75%,0)</f>
        <v>113</v>
      </c>
      <c r="W63" s="12"/>
      <c r="X63" s="6"/>
      <c r="Y63" s="3">
        <f t="shared" si="17"/>
        <v>1743</v>
      </c>
      <c r="Z63" s="37">
        <f t="shared" si="18"/>
        <v>13257</v>
      </c>
      <c r="AA63" s="74">
        <v>2</v>
      </c>
      <c r="AB63" s="74">
        <v>1</v>
      </c>
      <c r="AC63" s="65"/>
      <c r="AD63" s="74">
        <v>1</v>
      </c>
      <c r="AE63" s="74">
        <v>0.5</v>
      </c>
      <c r="AF63" s="23"/>
      <c r="AG63" s="23"/>
    </row>
    <row r="64" spans="1:35" ht="17.25" customHeight="1" x14ac:dyDescent="0.3">
      <c r="A64" s="72">
        <f t="shared" si="19"/>
        <v>57</v>
      </c>
      <c r="B64" s="18">
        <v>102171500221</v>
      </c>
      <c r="C64" s="19">
        <v>6724899103</v>
      </c>
      <c r="D64" s="19"/>
      <c r="E64" s="91" t="s">
        <v>224</v>
      </c>
      <c r="F64" s="54" t="s">
        <v>236</v>
      </c>
      <c r="G64" s="66" t="s">
        <v>247</v>
      </c>
      <c r="H64" s="33">
        <v>959</v>
      </c>
      <c r="I64" s="110">
        <v>27</v>
      </c>
      <c r="J64" s="21">
        <v>29</v>
      </c>
      <c r="K64" s="10">
        <v>13580</v>
      </c>
      <c r="L64" s="10">
        <v>6420</v>
      </c>
      <c r="M64" s="10">
        <v>0</v>
      </c>
      <c r="N64" s="5">
        <f t="shared" si="11"/>
        <v>20000</v>
      </c>
      <c r="O64" s="11">
        <f t="shared" si="12"/>
        <v>20000</v>
      </c>
      <c r="P64" s="34">
        <f t="shared" si="13"/>
        <v>13127</v>
      </c>
      <c r="Q64" s="34">
        <f t="shared" si="14"/>
        <v>6206</v>
      </c>
      <c r="R64" s="34">
        <f t="shared" si="15"/>
        <v>0</v>
      </c>
      <c r="S64" s="11"/>
      <c r="T64" s="35">
        <f t="shared" si="16"/>
        <v>19333</v>
      </c>
      <c r="U64" s="20">
        <f t="shared" si="20"/>
        <v>1575</v>
      </c>
      <c r="V64" s="24">
        <f>ROUNDUP(T64*0.75%,0)</f>
        <v>145</v>
      </c>
      <c r="W64" s="12"/>
      <c r="X64" s="6"/>
      <c r="Y64" s="3">
        <f t="shared" si="17"/>
        <v>1720</v>
      </c>
      <c r="Z64" s="37">
        <f t="shared" si="18"/>
        <v>17613</v>
      </c>
      <c r="AA64" s="74">
        <v>0</v>
      </c>
      <c r="AB64" s="74">
        <v>0</v>
      </c>
      <c r="AC64" s="65"/>
      <c r="AD64" s="74">
        <v>0</v>
      </c>
      <c r="AE64" s="74">
        <v>0.5</v>
      </c>
      <c r="AF64" s="23"/>
      <c r="AG64" s="23"/>
    </row>
    <row r="65" spans="1:35" ht="17.25" customHeight="1" x14ac:dyDescent="0.3">
      <c r="A65" s="72">
        <f t="shared" si="19"/>
        <v>58</v>
      </c>
      <c r="B65" s="18">
        <v>102228229078</v>
      </c>
      <c r="C65" s="19">
        <v>6724899086</v>
      </c>
      <c r="D65" s="19"/>
      <c r="E65" s="91" t="s">
        <v>221</v>
      </c>
      <c r="F65" s="54" t="s">
        <v>233</v>
      </c>
      <c r="G65" s="66" t="s">
        <v>244</v>
      </c>
      <c r="H65" s="33">
        <v>961</v>
      </c>
      <c r="I65" s="110">
        <v>27</v>
      </c>
      <c r="J65" s="21">
        <v>30</v>
      </c>
      <c r="K65" s="10">
        <v>13580</v>
      </c>
      <c r="L65" s="10">
        <v>6420</v>
      </c>
      <c r="M65" s="10">
        <v>0</v>
      </c>
      <c r="N65" s="5">
        <f t="shared" si="11"/>
        <v>20000</v>
      </c>
      <c r="O65" s="11">
        <f t="shared" si="12"/>
        <v>20000</v>
      </c>
      <c r="P65" s="34">
        <f t="shared" si="13"/>
        <v>13580</v>
      </c>
      <c r="Q65" s="34">
        <f t="shared" si="14"/>
        <v>6420</v>
      </c>
      <c r="R65" s="34">
        <f t="shared" si="15"/>
        <v>0</v>
      </c>
      <c r="S65" s="11"/>
      <c r="T65" s="35">
        <f t="shared" si="16"/>
        <v>20000</v>
      </c>
      <c r="U65" s="20">
        <f t="shared" si="20"/>
        <v>1630</v>
      </c>
      <c r="V65" s="24">
        <f>ROUNDUP(T65*0.75%,0)</f>
        <v>150</v>
      </c>
      <c r="W65" s="12"/>
      <c r="X65" s="6"/>
      <c r="Y65" s="3">
        <f t="shared" si="17"/>
        <v>1780</v>
      </c>
      <c r="Z65" s="37">
        <f t="shared" si="18"/>
        <v>18220</v>
      </c>
      <c r="AA65" s="74">
        <v>5</v>
      </c>
      <c r="AB65" s="74">
        <v>0</v>
      </c>
      <c r="AC65" s="65"/>
      <c r="AD65" s="74">
        <v>6</v>
      </c>
      <c r="AE65" s="74">
        <v>0.5</v>
      </c>
      <c r="AF65" s="23"/>
      <c r="AG65" s="23"/>
    </row>
    <row r="66" spans="1:35" ht="17.25" customHeight="1" x14ac:dyDescent="0.3">
      <c r="A66" s="72">
        <f t="shared" si="19"/>
        <v>59</v>
      </c>
      <c r="B66" s="18">
        <v>102228229084</v>
      </c>
      <c r="C66" s="19">
        <v>6724899073</v>
      </c>
      <c r="D66" s="19"/>
      <c r="E66" s="91" t="s">
        <v>220</v>
      </c>
      <c r="F66" s="54" t="s">
        <v>232</v>
      </c>
      <c r="G66" s="66" t="s">
        <v>243</v>
      </c>
      <c r="H66" s="33">
        <v>962</v>
      </c>
      <c r="I66" s="110">
        <v>29</v>
      </c>
      <c r="J66" s="21">
        <v>30</v>
      </c>
      <c r="K66" s="10">
        <v>13580</v>
      </c>
      <c r="L66" s="10">
        <v>6420</v>
      </c>
      <c r="M66" s="10">
        <v>0</v>
      </c>
      <c r="N66" s="5">
        <f t="shared" si="11"/>
        <v>20000</v>
      </c>
      <c r="O66" s="11">
        <f t="shared" si="12"/>
        <v>20000</v>
      </c>
      <c r="P66" s="34">
        <f t="shared" si="13"/>
        <v>13580</v>
      </c>
      <c r="Q66" s="34">
        <f t="shared" si="14"/>
        <v>6420</v>
      </c>
      <c r="R66" s="34">
        <f t="shared" si="15"/>
        <v>0</v>
      </c>
      <c r="S66" s="11"/>
      <c r="T66" s="35">
        <f t="shared" si="16"/>
        <v>20000</v>
      </c>
      <c r="U66" s="20">
        <f t="shared" si="20"/>
        <v>1630</v>
      </c>
      <c r="V66" s="24">
        <f>ROUNDUP(T66*0.75%,0)</f>
        <v>150</v>
      </c>
      <c r="W66" s="12"/>
      <c r="X66" s="6"/>
      <c r="Y66" s="3">
        <f t="shared" si="17"/>
        <v>1780</v>
      </c>
      <c r="Z66" s="37">
        <f t="shared" si="18"/>
        <v>18220</v>
      </c>
      <c r="AA66" s="74">
        <v>5</v>
      </c>
      <c r="AB66" s="74">
        <v>0</v>
      </c>
      <c r="AC66" s="65"/>
      <c r="AD66" s="74">
        <v>4</v>
      </c>
      <c r="AE66" s="74">
        <v>0.5</v>
      </c>
      <c r="AF66" s="23"/>
      <c r="AG66" s="23"/>
    </row>
    <row r="67" spans="1:35" ht="17.25" customHeight="1" x14ac:dyDescent="0.3">
      <c r="A67" s="72">
        <f t="shared" si="19"/>
        <v>60</v>
      </c>
      <c r="B67" s="18">
        <v>102228229111</v>
      </c>
      <c r="C67" s="19">
        <v>6724899099</v>
      </c>
      <c r="D67" s="19"/>
      <c r="E67" s="91" t="s">
        <v>222</v>
      </c>
      <c r="F67" s="54" t="s">
        <v>234</v>
      </c>
      <c r="G67" s="66" t="s">
        <v>245</v>
      </c>
      <c r="H67" s="33">
        <v>963</v>
      </c>
      <c r="I67" s="110">
        <v>27</v>
      </c>
      <c r="J67" s="21">
        <v>30</v>
      </c>
      <c r="K67" s="10">
        <v>13580</v>
      </c>
      <c r="L67" s="10">
        <v>7420</v>
      </c>
      <c r="M67" s="10">
        <v>0</v>
      </c>
      <c r="N67" s="5">
        <f t="shared" si="11"/>
        <v>21000</v>
      </c>
      <c r="O67" s="11">
        <f t="shared" si="12"/>
        <v>21000</v>
      </c>
      <c r="P67" s="34">
        <f t="shared" si="13"/>
        <v>13580</v>
      </c>
      <c r="Q67" s="34">
        <f t="shared" si="14"/>
        <v>7420</v>
      </c>
      <c r="R67" s="34">
        <f t="shared" si="15"/>
        <v>0</v>
      </c>
      <c r="S67" s="11"/>
      <c r="T67" s="35">
        <f t="shared" si="16"/>
        <v>21000</v>
      </c>
      <c r="U67" s="20">
        <f t="shared" si="20"/>
        <v>1630</v>
      </c>
      <c r="V67" s="24">
        <f>ROUNDUP(T67*0.75%,0)</f>
        <v>158</v>
      </c>
      <c r="W67" s="12"/>
      <c r="X67" s="6"/>
      <c r="Y67" s="3">
        <f t="shared" si="17"/>
        <v>1788</v>
      </c>
      <c r="Z67" s="37">
        <f t="shared" si="18"/>
        <v>19212</v>
      </c>
      <c r="AA67" s="74">
        <v>2</v>
      </c>
      <c r="AB67" s="74">
        <v>0</v>
      </c>
      <c r="AC67" s="65"/>
      <c r="AD67" s="74">
        <v>3</v>
      </c>
      <c r="AE67" s="74">
        <v>0.5</v>
      </c>
      <c r="AF67" s="23"/>
      <c r="AG67" s="23"/>
    </row>
    <row r="68" spans="1:35" ht="17.25" customHeight="1" x14ac:dyDescent="0.3">
      <c r="A68" s="72">
        <f t="shared" si="19"/>
        <v>61</v>
      </c>
      <c r="B68" s="18">
        <v>101799841330</v>
      </c>
      <c r="C68" s="19">
        <v>6724899047</v>
      </c>
      <c r="D68" s="19"/>
      <c r="E68" s="91" t="s">
        <v>218</v>
      </c>
      <c r="F68" s="54" t="s">
        <v>230</v>
      </c>
      <c r="G68" s="66" t="s">
        <v>241</v>
      </c>
      <c r="H68" s="33">
        <v>964</v>
      </c>
      <c r="I68" s="110">
        <v>28.5</v>
      </c>
      <c r="J68" s="21">
        <v>30</v>
      </c>
      <c r="K68" s="10">
        <v>13580</v>
      </c>
      <c r="L68" s="10">
        <v>10400</v>
      </c>
      <c r="M68" s="10">
        <v>2020</v>
      </c>
      <c r="N68" s="5">
        <f t="shared" si="11"/>
        <v>26000</v>
      </c>
      <c r="O68" s="11">
        <f t="shared" si="12"/>
        <v>26000</v>
      </c>
      <c r="P68" s="34">
        <f t="shared" si="13"/>
        <v>13580</v>
      </c>
      <c r="Q68" s="34">
        <f t="shared" si="14"/>
        <v>10400</v>
      </c>
      <c r="R68" s="34">
        <f t="shared" si="15"/>
        <v>2020</v>
      </c>
      <c r="S68" s="11"/>
      <c r="T68" s="35">
        <f t="shared" si="16"/>
        <v>26000</v>
      </c>
      <c r="U68" s="20">
        <f t="shared" si="20"/>
        <v>1630</v>
      </c>
      <c r="V68" s="69">
        <v>0</v>
      </c>
      <c r="W68" s="12"/>
      <c r="X68" s="6"/>
      <c r="Y68" s="3">
        <f t="shared" si="17"/>
        <v>1630</v>
      </c>
      <c r="Z68" s="37">
        <f t="shared" si="18"/>
        <v>24370</v>
      </c>
      <c r="AA68" s="74">
        <v>0</v>
      </c>
      <c r="AB68" s="74">
        <v>0</v>
      </c>
      <c r="AC68" s="65"/>
      <c r="AD68" s="74">
        <v>0</v>
      </c>
      <c r="AE68" s="74">
        <v>0</v>
      </c>
      <c r="AF68" s="23"/>
      <c r="AG68" s="23"/>
    </row>
    <row r="69" spans="1:35" ht="17.25" customHeight="1" x14ac:dyDescent="0.3">
      <c r="A69" s="72">
        <f t="shared" si="19"/>
        <v>62</v>
      </c>
      <c r="B69" s="18">
        <v>101653550317</v>
      </c>
      <c r="C69" s="19">
        <v>6724899025</v>
      </c>
      <c r="D69" s="19"/>
      <c r="E69" s="106" t="s">
        <v>217</v>
      </c>
      <c r="F69" s="107" t="s">
        <v>229</v>
      </c>
      <c r="G69" s="108" t="s">
        <v>194</v>
      </c>
      <c r="H69" s="109">
        <v>1158</v>
      </c>
      <c r="I69" s="114">
        <v>30</v>
      </c>
      <c r="J69" s="103">
        <v>30</v>
      </c>
      <c r="K69" s="104">
        <v>13580</v>
      </c>
      <c r="L69" s="104">
        <v>10000</v>
      </c>
      <c r="M69" s="104">
        <v>1420</v>
      </c>
      <c r="N69" s="5">
        <f t="shared" si="11"/>
        <v>25000</v>
      </c>
      <c r="O69" s="11">
        <f t="shared" si="12"/>
        <v>25000</v>
      </c>
      <c r="P69" s="34">
        <f t="shared" si="13"/>
        <v>13580</v>
      </c>
      <c r="Q69" s="34">
        <f t="shared" si="14"/>
        <v>10000</v>
      </c>
      <c r="R69" s="34">
        <f t="shared" si="15"/>
        <v>1420</v>
      </c>
      <c r="S69" s="11"/>
      <c r="T69" s="35">
        <f t="shared" si="16"/>
        <v>25000</v>
      </c>
      <c r="U69" s="20">
        <f t="shared" si="20"/>
        <v>1630</v>
      </c>
      <c r="V69" s="69">
        <v>0</v>
      </c>
      <c r="W69" s="12"/>
      <c r="X69" s="6"/>
      <c r="Y69" s="3">
        <f t="shared" si="17"/>
        <v>1630</v>
      </c>
      <c r="Z69" s="37">
        <f t="shared" si="18"/>
        <v>23370</v>
      </c>
      <c r="AA69" s="74">
        <v>8</v>
      </c>
      <c r="AB69" s="74">
        <v>2</v>
      </c>
      <c r="AC69" s="65"/>
      <c r="AD69" s="74">
        <v>7</v>
      </c>
      <c r="AE69" s="74">
        <v>1.5</v>
      </c>
      <c r="AF69" s="23"/>
      <c r="AG69" s="23"/>
    </row>
    <row r="70" spans="1:35" ht="17.25" customHeight="1" x14ac:dyDescent="0.3">
      <c r="A70" s="72">
        <f t="shared" si="19"/>
        <v>63</v>
      </c>
      <c r="B70" s="18">
        <v>102168318430</v>
      </c>
      <c r="C70" s="19">
        <v>6724362414</v>
      </c>
      <c r="D70" s="19"/>
      <c r="E70" s="91" t="s">
        <v>172</v>
      </c>
      <c r="F70" s="54" t="s">
        <v>175</v>
      </c>
      <c r="G70" s="17" t="s">
        <v>178</v>
      </c>
      <c r="H70" s="33">
        <v>1038</v>
      </c>
      <c r="I70" s="110">
        <v>30</v>
      </c>
      <c r="J70" s="21">
        <v>30</v>
      </c>
      <c r="K70" s="10">
        <v>13580</v>
      </c>
      <c r="L70" s="10">
        <v>9600</v>
      </c>
      <c r="M70" s="10">
        <v>820</v>
      </c>
      <c r="N70" s="5">
        <f t="shared" si="11"/>
        <v>24000</v>
      </c>
      <c r="O70" s="11">
        <f t="shared" si="12"/>
        <v>24000</v>
      </c>
      <c r="P70" s="34">
        <f t="shared" si="13"/>
        <v>13580</v>
      </c>
      <c r="Q70" s="34">
        <f t="shared" si="14"/>
        <v>9600</v>
      </c>
      <c r="R70" s="34">
        <f t="shared" si="15"/>
        <v>820</v>
      </c>
      <c r="S70" s="11"/>
      <c r="T70" s="35">
        <f t="shared" si="16"/>
        <v>24000</v>
      </c>
      <c r="U70" s="20">
        <f t="shared" si="20"/>
        <v>1630</v>
      </c>
      <c r="V70" s="69">
        <v>0</v>
      </c>
      <c r="W70" s="12"/>
      <c r="X70" s="6"/>
      <c r="Y70" s="3">
        <f t="shared" si="17"/>
        <v>1630</v>
      </c>
      <c r="Z70" s="37">
        <f t="shared" si="18"/>
        <v>22370</v>
      </c>
      <c r="AA70" s="74">
        <v>6</v>
      </c>
      <c r="AB70" s="74">
        <v>2</v>
      </c>
      <c r="AC70" s="65"/>
      <c r="AD70" s="74">
        <v>5</v>
      </c>
      <c r="AE70" s="74">
        <v>1.5</v>
      </c>
      <c r="AF70" s="23"/>
      <c r="AG70" s="23"/>
    </row>
    <row r="71" spans="1:35" ht="17.25" customHeight="1" x14ac:dyDescent="0.3">
      <c r="A71" s="72">
        <f t="shared" si="19"/>
        <v>64</v>
      </c>
      <c r="B71" s="18" t="s">
        <v>27</v>
      </c>
      <c r="C71" s="19" t="s">
        <v>27</v>
      </c>
      <c r="D71" s="19"/>
      <c r="E71" s="38" t="s">
        <v>256</v>
      </c>
      <c r="F71" s="54" t="s">
        <v>260</v>
      </c>
      <c r="G71" s="67" t="s">
        <v>263</v>
      </c>
      <c r="H71" s="33">
        <v>1039</v>
      </c>
      <c r="I71" s="110">
        <v>29</v>
      </c>
      <c r="J71" s="21">
        <v>30</v>
      </c>
      <c r="K71" s="10">
        <v>17500</v>
      </c>
      <c r="L71" s="10">
        <v>14000</v>
      </c>
      <c r="M71" s="10">
        <v>3500</v>
      </c>
      <c r="N71" s="5">
        <f t="shared" si="11"/>
        <v>35000</v>
      </c>
      <c r="O71" s="11">
        <f t="shared" si="12"/>
        <v>35000</v>
      </c>
      <c r="P71" s="34">
        <f t="shared" si="13"/>
        <v>17500</v>
      </c>
      <c r="Q71" s="34">
        <f t="shared" si="14"/>
        <v>14000</v>
      </c>
      <c r="R71" s="34">
        <f t="shared" si="15"/>
        <v>3500</v>
      </c>
      <c r="S71" s="11"/>
      <c r="T71" s="35">
        <f t="shared" si="16"/>
        <v>35000</v>
      </c>
      <c r="U71" s="69">
        <v>0</v>
      </c>
      <c r="V71" s="69">
        <v>0</v>
      </c>
      <c r="W71" s="12"/>
      <c r="X71" s="6"/>
      <c r="Y71" s="3">
        <f t="shared" si="17"/>
        <v>0</v>
      </c>
      <c r="Z71" s="37">
        <f t="shared" si="18"/>
        <v>35000</v>
      </c>
      <c r="AA71" s="74">
        <v>2</v>
      </c>
      <c r="AB71" s="74">
        <v>0</v>
      </c>
      <c r="AC71" s="65"/>
      <c r="AD71" s="74">
        <v>1</v>
      </c>
      <c r="AE71" s="74">
        <v>0.5</v>
      </c>
      <c r="AF71" s="23"/>
      <c r="AG71" s="23"/>
    </row>
    <row r="72" spans="1:35" ht="17.25" customHeight="1" x14ac:dyDescent="0.3">
      <c r="A72" s="72">
        <f t="shared" si="19"/>
        <v>65</v>
      </c>
      <c r="B72" s="18">
        <v>101558857965</v>
      </c>
      <c r="C72" s="19" t="s">
        <v>27</v>
      </c>
      <c r="D72" s="19"/>
      <c r="E72" s="38" t="s">
        <v>254</v>
      </c>
      <c r="F72" s="54" t="s">
        <v>258</v>
      </c>
      <c r="G72" s="67" t="s">
        <v>262</v>
      </c>
      <c r="H72" s="33">
        <v>1046</v>
      </c>
      <c r="I72" s="110">
        <v>29</v>
      </c>
      <c r="J72" s="21">
        <v>30</v>
      </c>
      <c r="K72" s="10">
        <v>20000</v>
      </c>
      <c r="L72" s="10">
        <v>16000</v>
      </c>
      <c r="M72" s="10">
        <v>4000</v>
      </c>
      <c r="N72" s="5">
        <f t="shared" ref="N72:N103" si="21">K72+L72+M72</f>
        <v>40000</v>
      </c>
      <c r="O72" s="11">
        <f t="shared" ref="O72:O103" si="22">N72</f>
        <v>40000</v>
      </c>
      <c r="P72" s="34">
        <f t="shared" ref="P72:P103" si="23">ROUND(K72/$AC$3*J72,0)</f>
        <v>20000</v>
      </c>
      <c r="Q72" s="34">
        <f t="shared" ref="Q72:Q103" si="24">ROUND(L72/$AC$3*J72,0)</f>
        <v>16000</v>
      </c>
      <c r="R72" s="34">
        <f t="shared" ref="R72:R103" si="25">ROUND(M72/$AC$3*J72,0)</f>
        <v>4000</v>
      </c>
      <c r="S72" s="11"/>
      <c r="T72" s="35">
        <f t="shared" ref="T72:T103" si="26">P72+Q72+R72</f>
        <v>40000</v>
      </c>
      <c r="U72" s="20">
        <f>ROUND(IF(K72&gt;15000,(15000/$AC$3*J72)*12%,P72*12%)*1,0)</f>
        <v>1800</v>
      </c>
      <c r="V72" s="69">
        <v>0</v>
      </c>
      <c r="W72" s="12"/>
      <c r="X72" s="6"/>
      <c r="Y72" s="3">
        <f t="shared" ref="Y72:Y103" si="27">U72+V72+W72+X72</f>
        <v>1800</v>
      </c>
      <c r="Z72" s="37">
        <f t="shared" ref="Z72:Z103" si="28">T72-Y72</f>
        <v>38200</v>
      </c>
      <c r="AA72" s="74">
        <v>2</v>
      </c>
      <c r="AB72" s="74">
        <v>1</v>
      </c>
      <c r="AC72" s="65"/>
      <c r="AD72" s="74">
        <v>1</v>
      </c>
      <c r="AE72" s="74">
        <v>1.5</v>
      </c>
      <c r="AF72" s="23"/>
      <c r="AG72" s="23"/>
    </row>
    <row r="73" spans="1:35" ht="17.25" customHeight="1" x14ac:dyDescent="0.3">
      <c r="A73" s="72">
        <f t="shared" ref="A73:A104" si="29">A72+1</f>
        <v>66</v>
      </c>
      <c r="B73" s="18">
        <v>102228229153</v>
      </c>
      <c r="C73" s="19">
        <v>6724898511</v>
      </c>
      <c r="D73" s="19"/>
      <c r="E73" s="91" t="s">
        <v>216</v>
      </c>
      <c r="F73" s="54" t="s">
        <v>228</v>
      </c>
      <c r="G73" s="66" t="s">
        <v>240</v>
      </c>
      <c r="H73" s="33">
        <v>1057</v>
      </c>
      <c r="I73" s="110">
        <v>30</v>
      </c>
      <c r="J73" s="21">
        <v>30</v>
      </c>
      <c r="K73" s="10">
        <v>15000</v>
      </c>
      <c r="L73" s="10">
        <v>12000</v>
      </c>
      <c r="M73" s="10">
        <v>3000</v>
      </c>
      <c r="N73" s="5">
        <f t="shared" si="21"/>
        <v>30000</v>
      </c>
      <c r="O73" s="11">
        <f t="shared" si="22"/>
        <v>30000</v>
      </c>
      <c r="P73" s="34">
        <f t="shared" si="23"/>
        <v>15000</v>
      </c>
      <c r="Q73" s="34">
        <f t="shared" si="24"/>
        <v>12000</v>
      </c>
      <c r="R73" s="34">
        <f t="shared" si="25"/>
        <v>3000</v>
      </c>
      <c r="S73" s="11"/>
      <c r="T73" s="35">
        <f t="shared" si="26"/>
        <v>30000</v>
      </c>
      <c r="U73" s="20">
        <f>ROUND(IF(K73&gt;15000,(15000/$AC$3*J73)*12%,P73*12%)*1,0)</f>
        <v>1800</v>
      </c>
      <c r="V73" s="69">
        <v>0</v>
      </c>
      <c r="W73" s="12"/>
      <c r="X73" s="6"/>
      <c r="Y73" s="3">
        <f t="shared" si="27"/>
        <v>1800</v>
      </c>
      <c r="Z73" s="37">
        <f t="shared" si="28"/>
        <v>28200</v>
      </c>
      <c r="AA73" s="74">
        <v>1</v>
      </c>
      <c r="AB73" s="74">
        <v>0.5</v>
      </c>
      <c r="AC73" s="65"/>
      <c r="AD73" s="74">
        <v>0</v>
      </c>
      <c r="AE73" s="74">
        <v>0</v>
      </c>
      <c r="AF73" s="23"/>
      <c r="AG73" s="23"/>
    </row>
    <row r="74" spans="1:35" ht="17.25" customHeight="1" x14ac:dyDescent="0.3">
      <c r="A74" s="72">
        <f t="shared" si="29"/>
        <v>67</v>
      </c>
      <c r="B74" s="18">
        <v>102228229097</v>
      </c>
      <c r="C74" s="19">
        <v>6724899104</v>
      </c>
      <c r="D74" s="19"/>
      <c r="E74" s="38" t="s">
        <v>225</v>
      </c>
      <c r="F74" s="54" t="s">
        <v>237</v>
      </c>
      <c r="G74" s="66" t="s">
        <v>248</v>
      </c>
      <c r="H74" s="33">
        <v>1058</v>
      </c>
      <c r="I74" s="110">
        <v>30</v>
      </c>
      <c r="J74" s="21">
        <v>30</v>
      </c>
      <c r="K74" s="10">
        <v>13580</v>
      </c>
      <c r="L74" s="10">
        <v>1420</v>
      </c>
      <c r="M74" s="10">
        <v>0</v>
      </c>
      <c r="N74" s="5">
        <f t="shared" si="21"/>
        <v>15000</v>
      </c>
      <c r="O74" s="11">
        <f t="shared" si="22"/>
        <v>15000</v>
      </c>
      <c r="P74" s="34">
        <f t="shared" si="23"/>
        <v>13580</v>
      </c>
      <c r="Q74" s="34">
        <f t="shared" si="24"/>
        <v>1420</v>
      </c>
      <c r="R74" s="34">
        <f t="shared" si="25"/>
        <v>0</v>
      </c>
      <c r="S74" s="11"/>
      <c r="T74" s="35">
        <f t="shared" si="26"/>
        <v>15000</v>
      </c>
      <c r="U74" s="20">
        <f>ROUND(IF(K74&gt;15000,(15000/$AC$3*J74)*12%,P74*12%)*1,0)</f>
        <v>1630</v>
      </c>
      <c r="V74" s="24">
        <f>ROUNDUP(T74*0.75%,0)</f>
        <v>113</v>
      </c>
      <c r="W74" s="12"/>
      <c r="X74" s="6"/>
      <c r="Y74" s="3">
        <f t="shared" si="27"/>
        <v>1743</v>
      </c>
      <c r="Z74" s="37">
        <f t="shared" si="28"/>
        <v>13257</v>
      </c>
      <c r="AA74" s="74">
        <v>1</v>
      </c>
      <c r="AB74" s="74">
        <v>1</v>
      </c>
      <c r="AC74" s="65"/>
      <c r="AD74" s="74">
        <v>0</v>
      </c>
      <c r="AE74" s="74">
        <v>0.5</v>
      </c>
      <c r="AF74" s="23"/>
      <c r="AG74" s="23"/>
    </row>
    <row r="75" spans="1:35" s="135" customFormat="1" ht="17.25" customHeight="1" x14ac:dyDescent="0.3">
      <c r="A75" s="118">
        <f t="shared" si="29"/>
        <v>68</v>
      </c>
      <c r="B75" s="119">
        <v>102244738565</v>
      </c>
      <c r="C75" s="120">
        <v>6725003837</v>
      </c>
      <c r="D75" s="120"/>
      <c r="E75" s="98" t="s">
        <v>255</v>
      </c>
      <c r="F75" s="121" t="s">
        <v>259</v>
      </c>
      <c r="G75" s="122" t="s">
        <v>263</v>
      </c>
      <c r="H75" s="101">
        <v>1090</v>
      </c>
      <c r="I75" s="102">
        <v>0</v>
      </c>
      <c r="J75" s="123">
        <v>0</v>
      </c>
      <c r="K75" s="124">
        <v>13580</v>
      </c>
      <c r="L75" s="124">
        <v>1420</v>
      </c>
      <c r="M75" s="124">
        <v>0</v>
      </c>
      <c r="N75" s="125">
        <f t="shared" si="21"/>
        <v>15000</v>
      </c>
      <c r="O75" s="126">
        <f t="shared" si="22"/>
        <v>15000</v>
      </c>
      <c r="P75" s="127">
        <f t="shared" si="23"/>
        <v>0</v>
      </c>
      <c r="Q75" s="127">
        <f t="shared" si="24"/>
        <v>0</v>
      </c>
      <c r="R75" s="127">
        <f t="shared" si="25"/>
        <v>0</v>
      </c>
      <c r="S75" s="126"/>
      <c r="T75" s="128">
        <f t="shared" si="26"/>
        <v>0</v>
      </c>
      <c r="U75" s="129">
        <f>ROUND(IF(K75&gt;15000,(15000/$AC$3*J75)*12%,P75*12%)*1,0)</f>
        <v>0</v>
      </c>
      <c r="V75" s="130">
        <f>ROUNDUP(T75*0.75%,0)</f>
        <v>0</v>
      </c>
      <c r="W75" s="12"/>
      <c r="X75" s="39"/>
      <c r="Y75" s="131">
        <f t="shared" si="27"/>
        <v>0</v>
      </c>
      <c r="Z75" s="132">
        <f t="shared" si="28"/>
        <v>0</v>
      </c>
      <c r="AA75" s="133">
        <v>3</v>
      </c>
      <c r="AB75" s="133">
        <v>1.5</v>
      </c>
      <c r="AC75" s="134"/>
      <c r="AD75" s="133">
        <v>2</v>
      </c>
      <c r="AE75" s="133">
        <v>1</v>
      </c>
      <c r="AF75" s="23"/>
      <c r="AG75" s="23"/>
      <c r="AI75" s="136" t="s">
        <v>348</v>
      </c>
    </row>
    <row r="76" spans="1:35" ht="17.25" customHeight="1" x14ac:dyDescent="0.3">
      <c r="A76" s="72">
        <f t="shared" si="29"/>
        <v>69</v>
      </c>
      <c r="B76" s="19" t="s">
        <v>27</v>
      </c>
      <c r="C76" s="19" t="s">
        <v>27</v>
      </c>
      <c r="D76" s="19"/>
      <c r="E76" s="91" t="s">
        <v>182</v>
      </c>
      <c r="F76" s="54" t="s">
        <v>183</v>
      </c>
      <c r="G76" s="17" t="s">
        <v>184</v>
      </c>
      <c r="H76" s="33">
        <v>1098</v>
      </c>
      <c r="I76" s="110">
        <v>28</v>
      </c>
      <c r="J76" s="21">
        <v>30</v>
      </c>
      <c r="K76" s="10">
        <v>27500</v>
      </c>
      <c r="L76" s="10">
        <v>22000</v>
      </c>
      <c r="M76" s="10">
        <v>5500</v>
      </c>
      <c r="N76" s="5">
        <f t="shared" si="21"/>
        <v>55000</v>
      </c>
      <c r="O76" s="11">
        <f t="shared" si="22"/>
        <v>55000</v>
      </c>
      <c r="P76" s="34">
        <f t="shared" si="23"/>
        <v>27500</v>
      </c>
      <c r="Q76" s="34">
        <f t="shared" si="24"/>
        <v>22000</v>
      </c>
      <c r="R76" s="34">
        <f t="shared" si="25"/>
        <v>5500</v>
      </c>
      <c r="S76" s="11"/>
      <c r="T76" s="35">
        <f t="shared" si="26"/>
        <v>55000</v>
      </c>
      <c r="U76" s="43">
        <v>0</v>
      </c>
      <c r="V76" s="43">
        <v>0</v>
      </c>
      <c r="W76" s="12"/>
      <c r="X76" s="6"/>
      <c r="Y76" s="3">
        <f t="shared" si="27"/>
        <v>0</v>
      </c>
      <c r="Z76" s="76">
        <f t="shared" si="28"/>
        <v>55000</v>
      </c>
      <c r="AA76" s="74">
        <v>14</v>
      </c>
      <c r="AB76" s="74">
        <v>0.5</v>
      </c>
      <c r="AC76" s="65"/>
      <c r="AD76" s="74">
        <v>14</v>
      </c>
      <c r="AE76" s="74">
        <v>1</v>
      </c>
      <c r="AF76" s="23"/>
      <c r="AG76" s="23"/>
    </row>
    <row r="77" spans="1:35" ht="17.25" customHeight="1" x14ac:dyDescent="0.3">
      <c r="A77" s="72">
        <f t="shared" si="29"/>
        <v>70</v>
      </c>
      <c r="B77" s="18">
        <v>102206097988</v>
      </c>
      <c r="C77" s="19">
        <v>6724708242</v>
      </c>
      <c r="D77" s="19"/>
      <c r="E77" s="91" t="s">
        <v>199</v>
      </c>
      <c r="F77" s="54" t="s">
        <v>204</v>
      </c>
      <c r="G77" s="17" t="s">
        <v>194</v>
      </c>
      <c r="H77" s="33">
        <v>1099</v>
      </c>
      <c r="I77" s="110">
        <v>30</v>
      </c>
      <c r="J77" s="21">
        <v>30</v>
      </c>
      <c r="K77" s="10">
        <v>15000</v>
      </c>
      <c r="L77" s="10">
        <v>12000</v>
      </c>
      <c r="M77" s="10">
        <v>3000</v>
      </c>
      <c r="N77" s="5">
        <f t="shared" si="21"/>
        <v>30000</v>
      </c>
      <c r="O77" s="11">
        <f t="shared" si="22"/>
        <v>30000</v>
      </c>
      <c r="P77" s="34">
        <f t="shared" si="23"/>
        <v>15000</v>
      </c>
      <c r="Q77" s="34">
        <f t="shared" si="24"/>
        <v>12000</v>
      </c>
      <c r="R77" s="34">
        <f t="shared" si="25"/>
        <v>3000</v>
      </c>
      <c r="S77" s="11"/>
      <c r="T77" s="35">
        <f t="shared" si="26"/>
        <v>30000</v>
      </c>
      <c r="U77" s="20">
        <f t="shared" ref="U77:U85" si="30">ROUND(IF(K77&gt;15000,(15000/$AC$3*J77)*12%,P77*12%)*1,0)</f>
        <v>1800</v>
      </c>
      <c r="V77" s="43">
        <v>0</v>
      </c>
      <c r="W77" s="12"/>
      <c r="X77" s="6"/>
      <c r="Y77" s="3">
        <f t="shared" si="27"/>
        <v>1800</v>
      </c>
      <c r="Z77" s="37">
        <f t="shared" si="28"/>
        <v>28200</v>
      </c>
      <c r="AA77" s="74">
        <v>11</v>
      </c>
      <c r="AB77" s="74">
        <v>2</v>
      </c>
      <c r="AC77" s="65"/>
      <c r="AD77" s="74">
        <v>10</v>
      </c>
      <c r="AE77" s="74">
        <v>1.5</v>
      </c>
      <c r="AF77" s="23"/>
      <c r="AG77" s="23"/>
    </row>
    <row r="78" spans="1:35" ht="17.25" customHeight="1" x14ac:dyDescent="0.3">
      <c r="A78" s="72">
        <f t="shared" si="29"/>
        <v>71</v>
      </c>
      <c r="B78" s="18">
        <v>101232493172</v>
      </c>
      <c r="C78" s="19">
        <v>6722250437</v>
      </c>
      <c r="D78" s="19"/>
      <c r="E78" s="91" t="s">
        <v>198</v>
      </c>
      <c r="F78" s="54" t="s">
        <v>203</v>
      </c>
      <c r="G78" s="17" t="s">
        <v>208</v>
      </c>
      <c r="H78" s="33">
        <v>1100</v>
      </c>
      <c r="I78" s="110">
        <v>30</v>
      </c>
      <c r="J78" s="21">
        <v>30</v>
      </c>
      <c r="K78" s="10">
        <v>13580</v>
      </c>
      <c r="L78" s="10">
        <v>6420</v>
      </c>
      <c r="M78" s="10">
        <v>0</v>
      </c>
      <c r="N78" s="5">
        <f t="shared" si="21"/>
        <v>20000</v>
      </c>
      <c r="O78" s="11">
        <f t="shared" si="22"/>
        <v>20000</v>
      </c>
      <c r="P78" s="34">
        <f t="shared" si="23"/>
        <v>13580</v>
      </c>
      <c r="Q78" s="34">
        <f t="shared" si="24"/>
        <v>6420</v>
      </c>
      <c r="R78" s="34">
        <f t="shared" si="25"/>
        <v>0</v>
      </c>
      <c r="S78" s="11"/>
      <c r="T78" s="35">
        <f t="shared" si="26"/>
        <v>20000</v>
      </c>
      <c r="U78" s="20">
        <f t="shared" si="30"/>
        <v>1630</v>
      </c>
      <c r="V78" s="24">
        <f>ROUNDUP(T78*0.75%,0)</f>
        <v>150</v>
      </c>
      <c r="W78" s="12"/>
      <c r="X78" s="6"/>
      <c r="Y78" s="3">
        <f t="shared" si="27"/>
        <v>1780</v>
      </c>
      <c r="Z78" s="37">
        <f t="shared" si="28"/>
        <v>18220</v>
      </c>
      <c r="AA78" s="74">
        <v>12</v>
      </c>
      <c r="AB78" s="74">
        <v>2</v>
      </c>
      <c r="AC78" s="65"/>
      <c r="AD78" s="74">
        <v>11</v>
      </c>
      <c r="AE78" s="74">
        <v>1.5</v>
      </c>
      <c r="AF78" s="23"/>
      <c r="AG78" s="23"/>
    </row>
    <row r="79" spans="1:35" ht="17.25" customHeight="1" x14ac:dyDescent="0.3">
      <c r="A79" s="72">
        <f t="shared" si="29"/>
        <v>72</v>
      </c>
      <c r="B79" s="18">
        <v>102023229241</v>
      </c>
      <c r="C79" s="19">
        <v>6722890813</v>
      </c>
      <c r="D79" s="19"/>
      <c r="E79" s="91" t="s">
        <v>267</v>
      </c>
      <c r="F79" s="54" t="s">
        <v>269</v>
      </c>
      <c r="G79" s="67" t="s">
        <v>271</v>
      </c>
      <c r="H79" s="33">
        <v>1101</v>
      </c>
      <c r="I79" s="110">
        <v>29</v>
      </c>
      <c r="J79" s="21">
        <v>30</v>
      </c>
      <c r="K79" s="10">
        <v>13580</v>
      </c>
      <c r="L79" s="10">
        <v>9600</v>
      </c>
      <c r="M79" s="10">
        <v>820</v>
      </c>
      <c r="N79" s="5">
        <f t="shared" si="21"/>
        <v>24000</v>
      </c>
      <c r="O79" s="11">
        <f t="shared" si="22"/>
        <v>24000</v>
      </c>
      <c r="P79" s="34">
        <f t="shared" si="23"/>
        <v>13580</v>
      </c>
      <c r="Q79" s="34">
        <f t="shared" si="24"/>
        <v>9600</v>
      </c>
      <c r="R79" s="34">
        <f t="shared" si="25"/>
        <v>820</v>
      </c>
      <c r="S79" s="11"/>
      <c r="T79" s="35">
        <f t="shared" si="26"/>
        <v>24000</v>
      </c>
      <c r="U79" s="20">
        <f t="shared" si="30"/>
        <v>1630</v>
      </c>
      <c r="V79" s="43">
        <v>0</v>
      </c>
      <c r="W79" s="12"/>
      <c r="X79" s="6"/>
      <c r="Y79" s="3">
        <f t="shared" si="27"/>
        <v>1630</v>
      </c>
      <c r="Z79" s="37">
        <f t="shared" si="28"/>
        <v>22370</v>
      </c>
      <c r="AA79" s="74">
        <v>3</v>
      </c>
      <c r="AB79" s="74">
        <v>0</v>
      </c>
      <c r="AC79" s="65"/>
      <c r="AD79" s="74">
        <v>2</v>
      </c>
      <c r="AE79" s="74">
        <v>0.5</v>
      </c>
      <c r="AF79" s="23"/>
      <c r="AG79" s="23"/>
    </row>
    <row r="80" spans="1:35" ht="17.25" customHeight="1" x14ac:dyDescent="0.3">
      <c r="A80" s="72">
        <f t="shared" si="29"/>
        <v>73</v>
      </c>
      <c r="B80" s="18">
        <v>102228229107</v>
      </c>
      <c r="C80" s="19">
        <v>6724899068</v>
      </c>
      <c r="D80" s="19"/>
      <c r="E80" s="91" t="s">
        <v>219</v>
      </c>
      <c r="F80" s="54" t="s">
        <v>231</v>
      </c>
      <c r="G80" s="66" t="s">
        <v>242</v>
      </c>
      <c r="H80" s="33">
        <v>1138</v>
      </c>
      <c r="I80" s="110">
        <v>29</v>
      </c>
      <c r="J80" s="21">
        <v>30</v>
      </c>
      <c r="K80" s="10">
        <v>13580</v>
      </c>
      <c r="L80" s="10">
        <v>6420</v>
      </c>
      <c r="M80" s="10">
        <v>0</v>
      </c>
      <c r="N80" s="5">
        <f t="shared" si="21"/>
        <v>20000</v>
      </c>
      <c r="O80" s="11">
        <f t="shared" si="22"/>
        <v>20000</v>
      </c>
      <c r="P80" s="34">
        <f t="shared" si="23"/>
        <v>13580</v>
      </c>
      <c r="Q80" s="34">
        <f t="shared" si="24"/>
        <v>6420</v>
      </c>
      <c r="R80" s="34">
        <f t="shared" si="25"/>
        <v>0</v>
      </c>
      <c r="S80" s="11"/>
      <c r="T80" s="35">
        <f t="shared" si="26"/>
        <v>20000</v>
      </c>
      <c r="U80" s="20">
        <f t="shared" si="30"/>
        <v>1630</v>
      </c>
      <c r="V80" s="24">
        <f>ROUNDUP(T80*0.75%,0)</f>
        <v>150</v>
      </c>
      <c r="W80" s="12"/>
      <c r="X80" s="6"/>
      <c r="Y80" s="3">
        <f t="shared" si="27"/>
        <v>1780</v>
      </c>
      <c r="Z80" s="37">
        <f t="shared" si="28"/>
        <v>18220</v>
      </c>
      <c r="AA80" s="74">
        <v>1</v>
      </c>
      <c r="AB80" s="74">
        <v>0</v>
      </c>
      <c r="AC80" s="65"/>
      <c r="AD80" s="74">
        <v>0</v>
      </c>
      <c r="AE80" s="74">
        <v>0.5</v>
      </c>
      <c r="AF80" s="23"/>
      <c r="AG80" s="23"/>
    </row>
    <row r="81" spans="1:33" ht="17.25" customHeight="1" x14ac:dyDescent="0.3">
      <c r="A81" s="72">
        <f t="shared" si="29"/>
        <v>74</v>
      </c>
      <c r="B81" s="18">
        <v>102252470378</v>
      </c>
      <c r="C81" s="19">
        <v>6725103755</v>
      </c>
      <c r="D81" s="19"/>
      <c r="E81" s="38" t="s">
        <v>268</v>
      </c>
      <c r="F81" s="54" t="s">
        <v>270</v>
      </c>
      <c r="G81" s="67" t="s">
        <v>272</v>
      </c>
      <c r="H81" s="33">
        <v>1179</v>
      </c>
      <c r="I81" s="110">
        <v>30</v>
      </c>
      <c r="J81" s="21">
        <v>30</v>
      </c>
      <c r="K81" s="10">
        <v>13580</v>
      </c>
      <c r="L81" s="10">
        <v>1420</v>
      </c>
      <c r="M81" s="10">
        <v>0</v>
      </c>
      <c r="N81" s="5">
        <f t="shared" si="21"/>
        <v>15000</v>
      </c>
      <c r="O81" s="11">
        <f t="shared" si="22"/>
        <v>15000</v>
      </c>
      <c r="P81" s="34">
        <f t="shared" si="23"/>
        <v>13580</v>
      </c>
      <c r="Q81" s="34">
        <f t="shared" si="24"/>
        <v>1420</v>
      </c>
      <c r="R81" s="34">
        <f t="shared" si="25"/>
        <v>0</v>
      </c>
      <c r="S81" s="11"/>
      <c r="T81" s="35">
        <f t="shared" si="26"/>
        <v>15000</v>
      </c>
      <c r="U81" s="20">
        <f t="shared" si="30"/>
        <v>1630</v>
      </c>
      <c r="V81" s="24">
        <f>ROUNDUP(T81*0.75%,0)</f>
        <v>113</v>
      </c>
      <c r="W81" s="12"/>
      <c r="X81" s="6"/>
      <c r="Y81" s="3">
        <f t="shared" si="27"/>
        <v>1743</v>
      </c>
      <c r="Z81" s="37">
        <f t="shared" si="28"/>
        <v>13257</v>
      </c>
      <c r="AA81" s="74">
        <v>5</v>
      </c>
      <c r="AB81" s="74">
        <v>1</v>
      </c>
      <c r="AC81" s="65"/>
      <c r="AD81" s="74">
        <v>4</v>
      </c>
      <c r="AE81" s="74">
        <v>0.5</v>
      </c>
      <c r="AF81" s="23"/>
      <c r="AG81" s="23"/>
    </row>
    <row r="82" spans="1:33" ht="17.25" customHeight="1" x14ac:dyDescent="0.3">
      <c r="A82" s="72">
        <f t="shared" si="29"/>
        <v>75</v>
      </c>
      <c r="B82" s="18">
        <v>102107446537</v>
      </c>
      <c r="C82" s="19">
        <v>6724881193</v>
      </c>
      <c r="D82" s="19"/>
      <c r="E82" s="91" t="s">
        <v>250</v>
      </c>
      <c r="F82" s="54" t="s">
        <v>251</v>
      </c>
      <c r="G82" s="17" t="s">
        <v>252</v>
      </c>
      <c r="H82" s="33">
        <v>1318</v>
      </c>
      <c r="I82" s="110">
        <v>30</v>
      </c>
      <c r="J82" s="21">
        <v>30</v>
      </c>
      <c r="K82" s="10">
        <v>15000</v>
      </c>
      <c r="L82" s="10">
        <v>12000</v>
      </c>
      <c r="M82" s="10">
        <v>3000</v>
      </c>
      <c r="N82" s="5">
        <f t="shared" si="21"/>
        <v>30000</v>
      </c>
      <c r="O82" s="11">
        <f t="shared" si="22"/>
        <v>30000</v>
      </c>
      <c r="P82" s="34">
        <f t="shared" si="23"/>
        <v>15000</v>
      </c>
      <c r="Q82" s="34">
        <f t="shared" si="24"/>
        <v>12000</v>
      </c>
      <c r="R82" s="34">
        <f t="shared" si="25"/>
        <v>3000</v>
      </c>
      <c r="S82" s="11"/>
      <c r="T82" s="35">
        <f t="shared" si="26"/>
        <v>30000</v>
      </c>
      <c r="U82" s="20">
        <f t="shared" si="30"/>
        <v>1800</v>
      </c>
      <c r="V82" s="43">
        <v>0</v>
      </c>
      <c r="W82" s="12"/>
      <c r="X82" s="6"/>
      <c r="Y82" s="3">
        <f t="shared" si="27"/>
        <v>1800</v>
      </c>
      <c r="Z82" s="37">
        <f t="shared" si="28"/>
        <v>28200</v>
      </c>
      <c r="AA82" s="74">
        <v>14</v>
      </c>
      <c r="AB82" s="74">
        <v>1.5</v>
      </c>
      <c r="AC82" s="65"/>
      <c r="AD82" s="74">
        <v>13</v>
      </c>
      <c r="AE82" s="74">
        <v>1</v>
      </c>
      <c r="AF82" s="23"/>
      <c r="AG82" s="23"/>
    </row>
    <row r="83" spans="1:33" ht="17.25" customHeight="1" x14ac:dyDescent="0.3">
      <c r="A83" s="72">
        <f t="shared" si="29"/>
        <v>76</v>
      </c>
      <c r="B83" s="18">
        <v>101549133159</v>
      </c>
      <c r="C83" s="19">
        <v>6725138286</v>
      </c>
      <c r="D83" s="19"/>
      <c r="E83" s="91" t="s">
        <v>273</v>
      </c>
      <c r="F83" s="54" t="s">
        <v>274</v>
      </c>
      <c r="G83" s="67" t="s">
        <v>275</v>
      </c>
      <c r="H83" s="33">
        <v>1319</v>
      </c>
      <c r="I83" s="110">
        <v>30</v>
      </c>
      <c r="J83" s="21">
        <v>30</v>
      </c>
      <c r="K83" s="10">
        <v>14000</v>
      </c>
      <c r="L83" s="10">
        <v>11200</v>
      </c>
      <c r="M83" s="10">
        <v>2800</v>
      </c>
      <c r="N83" s="5">
        <f t="shared" si="21"/>
        <v>28000</v>
      </c>
      <c r="O83" s="11">
        <f t="shared" si="22"/>
        <v>28000</v>
      </c>
      <c r="P83" s="34">
        <f t="shared" si="23"/>
        <v>14000</v>
      </c>
      <c r="Q83" s="34">
        <f t="shared" si="24"/>
        <v>11200</v>
      </c>
      <c r="R83" s="34">
        <f t="shared" si="25"/>
        <v>2800</v>
      </c>
      <c r="S83" s="11"/>
      <c r="T83" s="35">
        <f t="shared" si="26"/>
        <v>28000</v>
      </c>
      <c r="U83" s="20">
        <f t="shared" si="30"/>
        <v>1680</v>
      </c>
      <c r="V83" s="43">
        <v>0</v>
      </c>
      <c r="W83" s="12"/>
      <c r="X83" s="6"/>
      <c r="Y83" s="3">
        <f t="shared" si="27"/>
        <v>1680</v>
      </c>
      <c r="Z83" s="37">
        <f t="shared" si="28"/>
        <v>26320</v>
      </c>
      <c r="AA83" s="74">
        <v>6</v>
      </c>
      <c r="AB83" s="74">
        <v>2</v>
      </c>
      <c r="AC83" s="65"/>
      <c r="AD83" s="74">
        <v>5</v>
      </c>
      <c r="AE83" s="74">
        <v>1.5</v>
      </c>
      <c r="AF83" s="23"/>
      <c r="AG83" s="23"/>
    </row>
    <row r="84" spans="1:33" ht="17.25" customHeight="1" x14ac:dyDescent="0.3">
      <c r="A84" s="72">
        <f t="shared" si="29"/>
        <v>77</v>
      </c>
      <c r="B84" s="18">
        <v>102285731758</v>
      </c>
      <c r="C84" s="19">
        <v>6725280944</v>
      </c>
      <c r="D84" s="19"/>
      <c r="E84" s="91" t="s">
        <v>108</v>
      </c>
      <c r="F84" s="54" t="s">
        <v>286</v>
      </c>
      <c r="G84" s="67" t="s">
        <v>281</v>
      </c>
      <c r="H84" s="33">
        <v>1371</v>
      </c>
      <c r="I84" s="110">
        <v>28.5</v>
      </c>
      <c r="J84" s="21">
        <v>30</v>
      </c>
      <c r="K84" s="10">
        <v>13580</v>
      </c>
      <c r="L84" s="10">
        <v>9600</v>
      </c>
      <c r="M84" s="10">
        <v>820</v>
      </c>
      <c r="N84" s="5">
        <f t="shared" si="21"/>
        <v>24000</v>
      </c>
      <c r="O84" s="11">
        <f t="shared" si="22"/>
        <v>24000</v>
      </c>
      <c r="P84" s="34">
        <f t="shared" si="23"/>
        <v>13580</v>
      </c>
      <c r="Q84" s="34">
        <f t="shared" si="24"/>
        <v>9600</v>
      </c>
      <c r="R84" s="34">
        <f t="shared" si="25"/>
        <v>820</v>
      </c>
      <c r="S84" s="11"/>
      <c r="T84" s="35">
        <f t="shared" si="26"/>
        <v>24000</v>
      </c>
      <c r="U84" s="20">
        <f t="shared" si="30"/>
        <v>1630</v>
      </c>
      <c r="V84" s="43">
        <v>0</v>
      </c>
      <c r="W84" s="12"/>
      <c r="X84" s="6"/>
      <c r="Y84" s="3">
        <f t="shared" si="27"/>
        <v>1630</v>
      </c>
      <c r="Z84" s="37">
        <f t="shared" si="28"/>
        <v>22370</v>
      </c>
      <c r="AA84" s="74">
        <v>2</v>
      </c>
      <c r="AB84" s="74">
        <v>0</v>
      </c>
      <c r="AC84" s="65"/>
      <c r="AD84" s="74">
        <v>2</v>
      </c>
      <c r="AE84" s="74">
        <v>0</v>
      </c>
      <c r="AF84" s="23"/>
      <c r="AG84" s="23"/>
    </row>
    <row r="85" spans="1:33" ht="17.25" customHeight="1" x14ac:dyDescent="0.3">
      <c r="A85" s="72">
        <f t="shared" si="29"/>
        <v>78</v>
      </c>
      <c r="B85" s="18">
        <v>102282154016</v>
      </c>
      <c r="C85" s="19">
        <v>6725280940</v>
      </c>
      <c r="D85" s="19"/>
      <c r="E85" s="38" t="s">
        <v>276</v>
      </c>
      <c r="F85" s="54" t="s">
        <v>285</v>
      </c>
      <c r="G85" s="67" t="s">
        <v>280</v>
      </c>
      <c r="H85" s="33">
        <v>1373</v>
      </c>
      <c r="I85" s="110">
        <v>30</v>
      </c>
      <c r="J85" s="21">
        <v>30</v>
      </c>
      <c r="K85" s="10">
        <v>13580</v>
      </c>
      <c r="L85" s="10">
        <v>1420</v>
      </c>
      <c r="M85" s="10">
        <v>0</v>
      </c>
      <c r="N85" s="5">
        <f t="shared" si="21"/>
        <v>15000</v>
      </c>
      <c r="O85" s="11">
        <f t="shared" si="22"/>
        <v>15000</v>
      </c>
      <c r="P85" s="34">
        <f t="shared" si="23"/>
        <v>13580</v>
      </c>
      <c r="Q85" s="34">
        <f t="shared" si="24"/>
        <v>1420</v>
      </c>
      <c r="R85" s="34">
        <f t="shared" si="25"/>
        <v>0</v>
      </c>
      <c r="S85" s="11"/>
      <c r="T85" s="35">
        <f t="shared" si="26"/>
        <v>15000</v>
      </c>
      <c r="U85" s="20">
        <f t="shared" si="30"/>
        <v>1630</v>
      </c>
      <c r="V85" s="24">
        <f>ROUNDUP(T85*0.75%,0)</f>
        <v>113</v>
      </c>
      <c r="W85" s="12"/>
      <c r="X85" s="6"/>
      <c r="Y85" s="3">
        <f t="shared" si="27"/>
        <v>1743</v>
      </c>
      <c r="Z85" s="37">
        <f t="shared" si="28"/>
        <v>13257</v>
      </c>
      <c r="AA85" s="74">
        <v>5</v>
      </c>
      <c r="AB85" s="74">
        <v>2</v>
      </c>
      <c r="AC85" s="65"/>
      <c r="AD85" s="74">
        <v>4</v>
      </c>
      <c r="AE85" s="74">
        <v>1.5</v>
      </c>
      <c r="AF85" s="23"/>
      <c r="AG85" s="23"/>
    </row>
    <row r="86" spans="1:33" ht="16.95" customHeight="1" x14ac:dyDescent="0.3">
      <c r="A86" s="72">
        <f t="shared" si="29"/>
        <v>79</v>
      </c>
      <c r="B86" s="19" t="s">
        <v>27</v>
      </c>
      <c r="C86" s="19" t="s">
        <v>27</v>
      </c>
      <c r="D86" s="19"/>
      <c r="E86" s="38" t="s">
        <v>173</v>
      </c>
      <c r="F86" s="54" t="s">
        <v>176</v>
      </c>
      <c r="G86" s="17" t="s">
        <v>179</v>
      </c>
      <c r="H86" s="33">
        <v>1387</v>
      </c>
      <c r="I86" s="110">
        <v>30</v>
      </c>
      <c r="J86" s="21">
        <v>30</v>
      </c>
      <c r="K86" s="10">
        <v>50000</v>
      </c>
      <c r="L86" s="10">
        <v>40000</v>
      </c>
      <c r="M86" s="10">
        <v>10000</v>
      </c>
      <c r="N86" s="5">
        <f t="shared" si="21"/>
        <v>100000</v>
      </c>
      <c r="O86" s="11">
        <f t="shared" si="22"/>
        <v>100000</v>
      </c>
      <c r="P86" s="34">
        <f t="shared" si="23"/>
        <v>50000</v>
      </c>
      <c r="Q86" s="34">
        <f t="shared" si="24"/>
        <v>40000</v>
      </c>
      <c r="R86" s="34">
        <f t="shared" si="25"/>
        <v>10000</v>
      </c>
      <c r="S86" s="11"/>
      <c r="T86" s="35">
        <f t="shared" si="26"/>
        <v>100000</v>
      </c>
      <c r="U86" s="43">
        <v>0</v>
      </c>
      <c r="V86" s="43">
        <v>0</v>
      </c>
      <c r="W86" s="12"/>
      <c r="X86" s="6"/>
      <c r="Y86" s="3">
        <f t="shared" si="27"/>
        <v>0</v>
      </c>
      <c r="Z86" s="76">
        <f t="shared" si="28"/>
        <v>100000</v>
      </c>
      <c r="AA86" s="74">
        <v>14</v>
      </c>
      <c r="AB86" s="74">
        <v>2</v>
      </c>
      <c r="AC86" s="65"/>
      <c r="AD86" s="74">
        <v>13</v>
      </c>
      <c r="AE86" s="74">
        <v>1.5</v>
      </c>
      <c r="AF86" s="23"/>
      <c r="AG86" s="23"/>
    </row>
    <row r="87" spans="1:33" ht="17.25" customHeight="1" x14ac:dyDescent="0.3">
      <c r="A87" s="72">
        <f t="shared" si="29"/>
        <v>80</v>
      </c>
      <c r="B87" s="18">
        <v>102286446941</v>
      </c>
      <c r="C87" s="19">
        <v>6725309666</v>
      </c>
      <c r="D87" s="19"/>
      <c r="E87" s="91" t="s">
        <v>278</v>
      </c>
      <c r="F87" s="54" t="s">
        <v>288</v>
      </c>
      <c r="G87" s="67" t="s">
        <v>283</v>
      </c>
      <c r="H87" s="33">
        <v>1388</v>
      </c>
      <c r="I87" s="110">
        <v>30</v>
      </c>
      <c r="J87" s="21">
        <v>30</v>
      </c>
      <c r="K87" s="10">
        <v>13580</v>
      </c>
      <c r="L87" s="10">
        <v>9498</v>
      </c>
      <c r="M87" s="10">
        <v>667</v>
      </c>
      <c r="N87" s="5">
        <f t="shared" si="21"/>
        <v>23745</v>
      </c>
      <c r="O87" s="11">
        <f t="shared" si="22"/>
        <v>23745</v>
      </c>
      <c r="P87" s="34">
        <f t="shared" si="23"/>
        <v>13580</v>
      </c>
      <c r="Q87" s="34">
        <f t="shared" si="24"/>
        <v>9498</v>
      </c>
      <c r="R87" s="34">
        <f t="shared" si="25"/>
        <v>667</v>
      </c>
      <c r="S87" s="11"/>
      <c r="T87" s="35">
        <f t="shared" si="26"/>
        <v>23745</v>
      </c>
      <c r="U87" s="20">
        <f t="shared" ref="U87:U113" si="31">ROUND(IF(K87&gt;15000,(15000/$AC$3*J87)*12%,P87*12%)*1,0)</f>
        <v>1630</v>
      </c>
      <c r="V87" s="43">
        <v>0</v>
      </c>
      <c r="W87" s="12"/>
      <c r="X87" s="6"/>
      <c r="Y87" s="3">
        <f t="shared" si="27"/>
        <v>1630</v>
      </c>
      <c r="Z87" s="37">
        <f t="shared" si="28"/>
        <v>22115</v>
      </c>
      <c r="AA87" s="74">
        <v>5</v>
      </c>
      <c r="AB87" s="74">
        <v>2</v>
      </c>
      <c r="AC87" s="65"/>
      <c r="AD87" s="74">
        <v>4</v>
      </c>
      <c r="AE87" s="74">
        <v>1.5</v>
      </c>
      <c r="AF87" s="23"/>
      <c r="AG87" s="23"/>
    </row>
    <row r="88" spans="1:33" ht="17.25" customHeight="1" x14ac:dyDescent="0.3">
      <c r="A88" s="72">
        <f t="shared" si="29"/>
        <v>81</v>
      </c>
      <c r="B88" s="18">
        <v>102012549992</v>
      </c>
      <c r="C88" s="19">
        <v>6725309662</v>
      </c>
      <c r="D88" s="19"/>
      <c r="E88" s="91" t="s">
        <v>277</v>
      </c>
      <c r="F88" s="54" t="s">
        <v>287</v>
      </c>
      <c r="G88" s="67" t="s">
        <v>282</v>
      </c>
      <c r="H88" s="33">
        <v>1389</v>
      </c>
      <c r="I88" s="110">
        <v>30</v>
      </c>
      <c r="J88" s="21">
        <v>30</v>
      </c>
      <c r="K88" s="10">
        <v>15000</v>
      </c>
      <c r="L88" s="10">
        <v>12000</v>
      </c>
      <c r="M88" s="10">
        <v>3000</v>
      </c>
      <c r="N88" s="5">
        <f t="shared" si="21"/>
        <v>30000</v>
      </c>
      <c r="O88" s="11">
        <f t="shared" si="22"/>
        <v>30000</v>
      </c>
      <c r="P88" s="34">
        <f t="shared" si="23"/>
        <v>15000</v>
      </c>
      <c r="Q88" s="34">
        <f t="shared" si="24"/>
        <v>12000</v>
      </c>
      <c r="R88" s="34">
        <f t="shared" si="25"/>
        <v>3000</v>
      </c>
      <c r="S88" s="11"/>
      <c r="T88" s="35">
        <f t="shared" si="26"/>
        <v>30000</v>
      </c>
      <c r="U88" s="20">
        <f t="shared" si="31"/>
        <v>1800</v>
      </c>
      <c r="V88" s="43">
        <v>0</v>
      </c>
      <c r="W88" s="12"/>
      <c r="X88" s="6"/>
      <c r="Y88" s="3">
        <f t="shared" si="27"/>
        <v>1800</v>
      </c>
      <c r="Z88" s="37">
        <f t="shared" si="28"/>
        <v>28200</v>
      </c>
      <c r="AA88" s="74">
        <v>4</v>
      </c>
      <c r="AB88" s="74">
        <v>1</v>
      </c>
      <c r="AC88" s="65"/>
      <c r="AD88" s="74">
        <v>3</v>
      </c>
      <c r="AE88" s="74">
        <v>0.5</v>
      </c>
      <c r="AF88" s="23"/>
      <c r="AG88" s="23"/>
    </row>
    <row r="89" spans="1:33" ht="17.25" customHeight="1" x14ac:dyDescent="0.3">
      <c r="A89" s="72">
        <f t="shared" si="29"/>
        <v>82</v>
      </c>
      <c r="B89" s="18">
        <v>102147256848</v>
      </c>
      <c r="C89" s="19">
        <v>6724156785</v>
      </c>
      <c r="D89" s="19" t="s">
        <v>180</v>
      </c>
      <c r="E89" s="78" t="s">
        <v>165</v>
      </c>
      <c r="F89" s="15" t="s">
        <v>166</v>
      </c>
      <c r="G89" s="17" t="s">
        <v>167</v>
      </c>
      <c r="H89" s="33">
        <v>1396</v>
      </c>
      <c r="I89" s="95">
        <v>30</v>
      </c>
      <c r="J89" s="21">
        <v>30</v>
      </c>
      <c r="K89" s="10">
        <v>13580</v>
      </c>
      <c r="L89" s="10">
        <v>10000</v>
      </c>
      <c r="M89" s="10">
        <v>1420</v>
      </c>
      <c r="N89" s="5">
        <f t="shared" si="21"/>
        <v>25000</v>
      </c>
      <c r="O89" s="11">
        <f t="shared" si="22"/>
        <v>25000</v>
      </c>
      <c r="P89" s="34">
        <f t="shared" si="23"/>
        <v>13580</v>
      </c>
      <c r="Q89" s="34">
        <f t="shared" si="24"/>
        <v>10000</v>
      </c>
      <c r="R89" s="34">
        <f t="shared" si="25"/>
        <v>1420</v>
      </c>
      <c r="S89" s="11"/>
      <c r="T89" s="35">
        <f t="shared" si="26"/>
        <v>25000</v>
      </c>
      <c r="U89" s="20">
        <f t="shared" si="31"/>
        <v>1630</v>
      </c>
      <c r="V89" s="43">
        <v>0</v>
      </c>
      <c r="W89" s="12"/>
      <c r="X89" s="6"/>
      <c r="Y89" s="3">
        <f t="shared" si="27"/>
        <v>1630</v>
      </c>
      <c r="Z89" s="37">
        <f t="shared" si="28"/>
        <v>23370</v>
      </c>
      <c r="AA89" s="74">
        <v>6.5</v>
      </c>
      <c r="AB89" s="74">
        <v>2</v>
      </c>
      <c r="AC89" s="65"/>
      <c r="AD89" s="74">
        <v>5.5</v>
      </c>
      <c r="AE89" s="74">
        <v>1.5</v>
      </c>
      <c r="AF89" s="23"/>
      <c r="AG89" s="23"/>
    </row>
    <row r="90" spans="1:33" ht="17.25" customHeight="1" x14ac:dyDescent="0.3">
      <c r="A90" s="72">
        <f t="shared" si="29"/>
        <v>83</v>
      </c>
      <c r="B90" s="18">
        <v>102286447655</v>
      </c>
      <c r="C90" s="19">
        <v>6725309668</v>
      </c>
      <c r="D90" s="19"/>
      <c r="E90" s="91" t="s">
        <v>279</v>
      </c>
      <c r="F90" s="54" t="s">
        <v>289</v>
      </c>
      <c r="G90" s="67" t="s">
        <v>284</v>
      </c>
      <c r="H90" s="33">
        <v>1432</v>
      </c>
      <c r="I90" s="110">
        <v>30</v>
      </c>
      <c r="J90" s="21">
        <v>30</v>
      </c>
      <c r="K90" s="10">
        <v>13580</v>
      </c>
      <c r="L90" s="10">
        <v>9600</v>
      </c>
      <c r="M90" s="10">
        <v>820</v>
      </c>
      <c r="N90" s="5">
        <f t="shared" si="21"/>
        <v>24000</v>
      </c>
      <c r="O90" s="11">
        <f t="shared" si="22"/>
        <v>24000</v>
      </c>
      <c r="P90" s="34">
        <f t="shared" si="23"/>
        <v>13580</v>
      </c>
      <c r="Q90" s="34">
        <f t="shared" si="24"/>
        <v>9600</v>
      </c>
      <c r="R90" s="34">
        <f t="shared" si="25"/>
        <v>820</v>
      </c>
      <c r="S90" s="11"/>
      <c r="T90" s="35">
        <f t="shared" si="26"/>
        <v>24000</v>
      </c>
      <c r="U90" s="20">
        <f t="shared" si="31"/>
        <v>1630</v>
      </c>
      <c r="V90" s="43">
        <v>0</v>
      </c>
      <c r="W90" s="12"/>
      <c r="X90" s="6"/>
      <c r="Y90" s="3">
        <f t="shared" si="27"/>
        <v>1630</v>
      </c>
      <c r="Z90" s="37">
        <f t="shared" si="28"/>
        <v>22370</v>
      </c>
      <c r="AA90" s="74">
        <v>5</v>
      </c>
      <c r="AB90" s="74">
        <v>2</v>
      </c>
      <c r="AC90" s="65"/>
      <c r="AD90" s="74">
        <v>4</v>
      </c>
      <c r="AE90" s="74">
        <v>1.5</v>
      </c>
      <c r="AF90" s="23"/>
      <c r="AG90" s="23"/>
    </row>
    <row r="91" spans="1:33" ht="17.25" customHeight="1" x14ac:dyDescent="0.3">
      <c r="A91" s="72">
        <f t="shared" si="29"/>
        <v>84</v>
      </c>
      <c r="B91" s="18">
        <v>102296492289</v>
      </c>
      <c r="C91" s="19">
        <v>6725363954</v>
      </c>
      <c r="D91" s="19"/>
      <c r="E91" s="38" t="s">
        <v>290</v>
      </c>
      <c r="F91" s="54" t="s">
        <v>294</v>
      </c>
      <c r="G91" s="67" t="s">
        <v>298</v>
      </c>
      <c r="H91" s="33">
        <v>1468</v>
      </c>
      <c r="I91" s="110">
        <v>29</v>
      </c>
      <c r="J91" s="21">
        <v>30</v>
      </c>
      <c r="K91" s="10">
        <v>13580</v>
      </c>
      <c r="L91" s="10">
        <v>1420</v>
      </c>
      <c r="M91" s="10">
        <v>0</v>
      </c>
      <c r="N91" s="5">
        <f t="shared" si="21"/>
        <v>15000</v>
      </c>
      <c r="O91" s="11">
        <f t="shared" si="22"/>
        <v>15000</v>
      </c>
      <c r="P91" s="34">
        <f t="shared" si="23"/>
        <v>13580</v>
      </c>
      <c r="Q91" s="34">
        <f t="shared" si="24"/>
        <v>1420</v>
      </c>
      <c r="R91" s="34">
        <f t="shared" si="25"/>
        <v>0</v>
      </c>
      <c r="S91" s="11"/>
      <c r="T91" s="35">
        <f t="shared" si="26"/>
        <v>15000</v>
      </c>
      <c r="U91" s="20">
        <f t="shared" si="31"/>
        <v>1630</v>
      </c>
      <c r="V91" s="24">
        <f>ROUNDUP(T91*0.75%,0)</f>
        <v>113</v>
      </c>
      <c r="W91" s="10"/>
      <c r="X91" s="6"/>
      <c r="Y91" s="3">
        <f t="shared" si="27"/>
        <v>1743</v>
      </c>
      <c r="Z91" s="37">
        <f t="shared" si="28"/>
        <v>13257</v>
      </c>
      <c r="AA91" s="74">
        <v>2</v>
      </c>
      <c r="AB91" s="74">
        <v>0.5</v>
      </c>
      <c r="AC91" s="65"/>
      <c r="AD91" s="74">
        <v>1</v>
      </c>
      <c r="AE91" s="74">
        <v>1</v>
      </c>
      <c r="AF91" s="23"/>
      <c r="AG91" s="23"/>
    </row>
    <row r="92" spans="1:33" ht="17.25" customHeight="1" x14ac:dyDescent="0.3">
      <c r="A92" s="72">
        <f t="shared" si="29"/>
        <v>85</v>
      </c>
      <c r="B92" s="18">
        <v>102277044641</v>
      </c>
      <c r="C92" s="19">
        <v>6725363980</v>
      </c>
      <c r="D92" s="19"/>
      <c r="E92" s="38" t="s">
        <v>291</v>
      </c>
      <c r="F92" s="54" t="s">
        <v>295</v>
      </c>
      <c r="G92" s="67" t="s">
        <v>299</v>
      </c>
      <c r="H92" s="33">
        <v>1469</v>
      </c>
      <c r="I92" s="110">
        <v>29</v>
      </c>
      <c r="J92" s="21">
        <v>30</v>
      </c>
      <c r="K92" s="10">
        <v>13580</v>
      </c>
      <c r="L92" s="10">
        <v>3172</v>
      </c>
      <c r="M92" s="10">
        <v>0</v>
      </c>
      <c r="N92" s="5">
        <f t="shared" si="21"/>
        <v>16752</v>
      </c>
      <c r="O92" s="11">
        <f t="shared" si="22"/>
        <v>16752</v>
      </c>
      <c r="P92" s="34">
        <f t="shared" si="23"/>
        <v>13580</v>
      </c>
      <c r="Q92" s="34">
        <f t="shared" si="24"/>
        <v>3172</v>
      </c>
      <c r="R92" s="34">
        <f t="shared" si="25"/>
        <v>0</v>
      </c>
      <c r="S92" s="11"/>
      <c r="T92" s="35">
        <f t="shared" si="26"/>
        <v>16752</v>
      </c>
      <c r="U92" s="20">
        <f t="shared" si="31"/>
        <v>1630</v>
      </c>
      <c r="V92" s="24">
        <f>ROUNDUP(T92*0.75%,0)</f>
        <v>126</v>
      </c>
      <c r="W92" s="10"/>
      <c r="X92" s="6"/>
      <c r="Y92" s="3">
        <f t="shared" si="27"/>
        <v>1756</v>
      </c>
      <c r="Z92" s="37">
        <f t="shared" si="28"/>
        <v>14996</v>
      </c>
      <c r="AA92" s="74">
        <v>3</v>
      </c>
      <c r="AB92" s="74">
        <v>0</v>
      </c>
      <c r="AC92" s="65"/>
      <c r="AD92" s="74">
        <v>2</v>
      </c>
      <c r="AE92" s="74">
        <v>0.5</v>
      </c>
      <c r="AF92" s="23"/>
      <c r="AG92" s="23"/>
    </row>
    <row r="93" spans="1:33" ht="17.25" customHeight="1" x14ac:dyDescent="0.3">
      <c r="A93" s="72">
        <f t="shared" si="29"/>
        <v>86</v>
      </c>
      <c r="B93" s="18">
        <v>101778067373</v>
      </c>
      <c r="C93" s="19">
        <v>6725364029</v>
      </c>
      <c r="D93" s="19"/>
      <c r="E93" s="38" t="s">
        <v>293</v>
      </c>
      <c r="F93" s="54" t="s">
        <v>297</v>
      </c>
      <c r="G93" s="67" t="s">
        <v>301</v>
      </c>
      <c r="H93" s="33">
        <v>1478</v>
      </c>
      <c r="I93" s="110">
        <v>20</v>
      </c>
      <c r="J93" s="21">
        <v>21.5</v>
      </c>
      <c r="K93" s="10">
        <v>13580</v>
      </c>
      <c r="L93" s="10">
        <v>3420</v>
      </c>
      <c r="M93" s="10">
        <v>0</v>
      </c>
      <c r="N93" s="5">
        <f t="shared" si="21"/>
        <v>17000</v>
      </c>
      <c r="O93" s="11">
        <f t="shared" si="22"/>
        <v>17000</v>
      </c>
      <c r="P93" s="34">
        <f t="shared" si="23"/>
        <v>9732</v>
      </c>
      <c r="Q93" s="34">
        <f t="shared" si="24"/>
        <v>2451</v>
      </c>
      <c r="R93" s="34">
        <f t="shared" si="25"/>
        <v>0</v>
      </c>
      <c r="S93" s="11"/>
      <c r="T93" s="35">
        <f t="shared" si="26"/>
        <v>12183</v>
      </c>
      <c r="U93" s="20">
        <f t="shared" si="31"/>
        <v>1168</v>
      </c>
      <c r="V93" s="24">
        <f>ROUNDUP(T93*0.75%,0)</f>
        <v>92</v>
      </c>
      <c r="W93" s="10"/>
      <c r="X93" s="6"/>
      <c r="Y93" s="3">
        <f t="shared" si="27"/>
        <v>1260</v>
      </c>
      <c r="Z93" s="37">
        <f t="shared" si="28"/>
        <v>10923</v>
      </c>
      <c r="AA93" s="74">
        <v>0</v>
      </c>
      <c r="AB93" s="74">
        <v>0</v>
      </c>
      <c r="AC93" s="65"/>
      <c r="AD93" s="74">
        <v>0</v>
      </c>
      <c r="AE93" s="74">
        <v>0</v>
      </c>
      <c r="AF93" s="23"/>
      <c r="AG93" s="23"/>
    </row>
    <row r="94" spans="1:33" ht="17.25" customHeight="1" x14ac:dyDescent="0.3">
      <c r="A94" s="72">
        <f t="shared" si="29"/>
        <v>87</v>
      </c>
      <c r="B94" s="18">
        <v>102294544145</v>
      </c>
      <c r="C94" s="19">
        <v>6725364009</v>
      </c>
      <c r="D94" s="19"/>
      <c r="E94" s="38" t="s">
        <v>292</v>
      </c>
      <c r="F94" s="54" t="s">
        <v>296</v>
      </c>
      <c r="G94" s="67" t="s">
        <v>300</v>
      </c>
      <c r="H94" s="33">
        <v>1481</v>
      </c>
      <c r="I94" s="110">
        <v>28.5</v>
      </c>
      <c r="J94" s="21">
        <v>30</v>
      </c>
      <c r="K94" s="10">
        <v>13580</v>
      </c>
      <c r="L94" s="10">
        <v>3172</v>
      </c>
      <c r="M94" s="10">
        <v>0</v>
      </c>
      <c r="N94" s="5">
        <f t="shared" si="21"/>
        <v>16752</v>
      </c>
      <c r="O94" s="11">
        <f t="shared" si="22"/>
        <v>16752</v>
      </c>
      <c r="P94" s="34">
        <f t="shared" si="23"/>
        <v>13580</v>
      </c>
      <c r="Q94" s="34">
        <f t="shared" si="24"/>
        <v>3172</v>
      </c>
      <c r="R94" s="34">
        <f t="shared" si="25"/>
        <v>0</v>
      </c>
      <c r="S94" s="11"/>
      <c r="T94" s="35">
        <f t="shared" si="26"/>
        <v>16752</v>
      </c>
      <c r="U94" s="20">
        <f t="shared" si="31"/>
        <v>1630</v>
      </c>
      <c r="V94" s="24">
        <f>ROUNDUP(T94*0.75%,0)</f>
        <v>126</v>
      </c>
      <c r="W94" s="10"/>
      <c r="X94" s="6"/>
      <c r="Y94" s="3">
        <f t="shared" si="27"/>
        <v>1756</v>
      </c>
      <c r="Z94" s="37">
        <f t="shared" si="28"/>
        <v>14996</v>
      </c>
      <c r="AA94" s="74">
        <v>4</v>
      </c>
      <c r="AB94" s="74">
        <v>0.5</v>
      </c>
      <c r="AC94" s="65"/>
      <c r="AD94" s="74">
        <v>3</v>
      </c>
      <c r="AE94" s="74">
        <v>1.5</v>
      </c>
      <c r="AF94" s="23"/>
      <c r="AG94" s="23"/>
    </row>
    <row r="95" spans="1:33" ht="17.25" customHeight="1" x14ac:dyDescent="0.3">
      <c r="A95" s="72">
        <f t="shared" si="29"/>
        <v>88</v>
      </c>
      <c r="B95" s="18">
        <v>101915855787</v>
      </c>
      <c r="C95" s="4">
        <v>6721824092</v>
      </c>
      <c r="D95" s="4" t="s">
        <v>180</v>
      </c>
      <c r="E95" s="38" t="s">
        <v>87</v>
      </c>
      <c r="F95" s="14" t="s">
        <v>88</v>
      </c>
      <c r="G95" s="40" t="s">
        <v>89</v>
      </c>
      <c r="H95" s="33">
        <v>1482</v>
      </c>
      <c r="I95" s="95">
        <v>30</v>
      </c>
      <c r="J95" s="21">
        <v>30</v>
      </c>
      <c r="K95" s="10">
        <v>13580</v>
      </c>
      <c r="L95" s="10">
        <v>9200</v>
      </c>
      <c r="M95" s="10">
        <v>220</v>
      </c>
      <c r="N95" s="5">
        <f t="shared" si="21"/>
        <v>23000</v>
      </c>
      <c r="O95" s="11">
        <f t="shared" si="22"/>
        <v>23000</v>
      </c>
      <c r="P95" s="34">
        <f t="shared" si="23"/>
        <v>13580</v>
      </c>
      <c r="Q95" s="34">
        <f t="shared" si="24"/>
        <v>9200</v>
      </c>
      <c r="R95" s="34">
        <f t="shared" si="25"/>
        <v>220</v>
      </c>
      <c r="S95" s="11"/>
      <c r="T95" s="35">
        <f t="shared" si="26"/>
        <v>23000</v>
      </c>
      <c r="U95" s="20">
        <f t="shared" si="31"/>
        <v>1630</v>
      </c>
      <c r="V95" s="43">
        <v>0</v>
      </c>
      <c r="W95" s="12"/>
      <c r="X95" s="6"/>
      <c r="Y95" s="3">
        <f t="shared" si="27"/>
        <v>1630</v>
      </c>
      <c r="Z95" s="37">
        <f t="shared" si="28"/>
        <v>21370</v>
      </c>
      <c r="AA95" s="74">
        <v>12.5</v>
      </c>
      <c r="AB95" s="74">
        <v>2</v>
      </c>
      <c r="AC95" s="65"/>
      <c r="AD95" s="74">
        <v>11.5</v>
      </c>
      <c r="AE95" s="74">
        <v>1.5</v>
      </c>
      <c r="AF95" s="23"/>
      <c r="AG95" s="23"/>
    </row>
    <row r="96" spans="1:33" ht="17.25" customHeight="1" x14ac:dyDescent="0.3">
      <c r="A96" s="72">
        <f t="shared" si="29"/>
        <v>89</v>
      </c>
      <c r="B96" s="18">
        <v>102298385274</v>
      </c>
      <c r="C96" s="18">
        <v>6725410085</v>
      </c>
      <c r="D96" s="19"/>
      <c r="E96" s="38" t="s">
        <v>305</v>
      </c>
      <c r="F96" s="54" t="s">
        <v>306</v>
      </c>
      <c r="G96" s="67" t="s">
        <v>307</v>
      </c>
      <c r="H96" s="33">
        <v>1496</v>
      </c>
      <c r="I96" s="110">
        <v>30</v>
      </c>
      <c r="J96" s="21">
        <v>30</v>
      </c>
      <c r="K96" s="10">
        <v>13580</v>
      </c>
      <c r="L96" s="10">
        <v>1420</v>
      </c>
      <c r="M96" s="10">
        <v>0</v>
      </c>
      <c r="N96" s="5">
        <f t="shared" si="21"/>
        <v>15000</v>
      </c>
      <c r="O96" s="11">
        <f t="shared" si="22"/>
        <v>15000</v>
      </c>
      <c r="P96" s="34">
        <f t="shared" si="23"/>
        <v>13580</v>
      </c>
      <c r="Q96" s="34">
        <f t="shared" si="24"/>
        <v>1420</v>
      </c>
      <c r="R96" s="34">
        <f t="shared" si="25"/>
        <v>0</v>
      </c>
      <c r="S96" s="11"/>
      <c r="T96" s="35">
        <f t="shared" si="26"/>
        <v>15000</v>
      </c>
      <c r="U96" s="20">
        <f t="shared" si="31"/>
        <v>1630</v>
      </c>
      <c r="V96" s="24">
        <f>ROUNDUP(T96*0.75%,0)</f>
        <v>113</v>
      </c>
      <c r="W96" s="10"/>
      <c r="X96" s="6"/>
      <c r="Y96" s="3">
        <f t="shared" si="27"/>
        <v>1743</v>
      </c>
      <c r="Z96" s="37">
        <f t="shared" si="28"/>
        <v>13257</v>
      </c>
      <c r="AA96" s="74">
        <v>4</v>
      </c>
      <c r="AB96" s="74">
        <v>2</v>
      </c>
      <c r="AC96" s="65"/>
      <c r="AD96" s="74">
        <v>3</v>
      </c>
      <c r="AE96" s="74">
        <v>1.5</v>
      </c>
      <c r="AF96" s="23"/>
      <c r="AG96" s="23"/>
    </row>
    <row r="97" spans="1:35" ht="17.25" customHeight="1" x14ac:dyDescent="0.3">
      <c r="A97" s="72">
        <f t="shared" si="29"/>
        <v>90</v>
      </c>
      <c r="B97" s="18">
        <v>101136180127</v>
      </c>
      <c r="C97" s="19">
        <v>6724798875</v>
      </c>
      <c r="D97" s="19" t="s">
        <v>180</v>
      </c>
      <c r="E97" s="38" t="s">
        <v>253</v>
      </c>
      <c r="F97" s="54" t="s">
        <v>257</v>
      </c>
      <c r="G97" s="67" t="s">
        <v>261</v>
      </c>
      <c r="H97" s="33">
        <v>1509</v>
      </c>
      <c r="I97" s="95">
        <v>30</v>
      </c>
      <c r="J97" s="21">
        <v>30</v>
      </c>
      <c r="K97" s="10">
        <v>13580</v>
      </c>
      <c r="L97" s="10">
        <v>6420</v>
      </c>
      <c r="M97" s="10">
        <v>0</v>
      </c>
      <c r="N97" s="5">
        <f t="shared" si="21"/>
        <v>20000</v>
      </c>
      <c r="O97" s="11">
        <f t="shared" si="22"/>
        <v>20000</v>
      </c>
      <c r="P97" s="34">
        <f t="shared" si="23"/>
        <v>13580</v>
      </c>
      <c r="Q97" s="34">
        <f t="shared" si="24"/>
        <v>6420</v>
      </c>
      <c r="R97" s="34">
        <f t="shared" si="25"/>
        <v>0</v>
      </c>
      <c r="S97" s="11"/>
      <c r="T97" s="35">
        <f t="shared" si="26"/>
        <v>20000</v>
      </c>
      <c r="U97" s="20">
        <f t="shared" si="31"/>
        <v>1630</v>
      </c>
      <c r="V97" s="24">
        <f>ROUNDUP(T97*0.75%,0)</f>
        <v>150</v>
      </c>
      <c r="W97" s="12"/>
      <c r="X97" s="6"/>
      <c r="Y97" s="3">
        <f t="shared" si="27"/>
        <v>1780</v>
      </c>
      <c r="Z97" s="37">
        <f t="shared" si="28"/>
        <v>18220</v>
      </c>
      <c r="AA97" s="74">
        <v>7</v>
      </c>
      <c r="AB97" s="74">
        <v>2</v>
      </c>
      <c r="AC97" s="65"/>
      <c r="AD97" s="74">
        <v>6</v>
      </c>
      <c r="AE97" s="74">
        <v>1.5</v>
      </c>
      <c r="AF97" s="23"/>
      <c r="AG97" s="23"/>
    </row>
    <row r="98" spans="1:35" ht="17.25" customHeight="1" x14ac:dyDescent="0.3">
      <c r="A98" s="72">
        <f t="shared" si="29"/>
        <v>91</v>
      </c>
      <c r="B98" s="18">
        <v>102159621886</v>
      </c>
      <c r="C98" s="19">
        <v>6725030978</v>
      </c>
      <c r="D98" s="19" t="s">
        <v>180</v>
      </c>
      <c r="E98" s="38" t="s">
        <v>264</v>
      </c>
      <c r="F98" s="54" t="s">
        <v>265</v>
      </c>
      <c r="G98" s="67" t="s">
        <v>266</v>
      </c>
      <c r="H98" s="33">
        <v>1510</v>
      </c>
      <c r="I98" s="95">
        <v>30</v>
      </c>
      <c r="J98" s="21">
        <v>30</v>
      </c>
      <c r="K98" s="10">
        <v>13580</v>
      </c>
      <c r="L98" s="10">
        <v>4420</v>
      </c>
      <c r="M98" s="10">
        <v>0</v>
      </c>
      <c r="N98" s="5">
        <f t="shared" si="21"/>
        <v>18000</v>
      </c>
      <c r="O98" s="11">
        <f t="shared" si="22"/>
        <v>18000</v>
      </c>
      <c r="P98" s="34">
        <f t="shared" si="23"/>
        <v>13580</v>
      </c>
      <c r="Q98" s="34">
        <f t="shared" si="24"/>
        <v>4420</v>
      </c>
      <c r="R98" s="34">
        <f t="shared" si="25"/>
        <v>0</v>
      </c>
      <c r="S98" s="11"/>
      <c r="T98" s="35">
        <f t="shared" si="26"/>
        <v>18000</v>
      </c>
      <c r="U98" s="20">
        <f t="shared" si="31"/>
        <v>1630</v>
      </c>
      <c r="V98" s="24">
        <f>ROUNDUP(T98*0.75%,0)</f>
        <v>135</v>
      </c>
      <c r="W98" s="12"/>
      <c r="X98" s="6"/>
      <c r="Y98" s="3">
        <f t="shared" si="27"/>
        <v>1765</v>
      </c>
      <c r="Z98" s="37">
        <f t="shared" si="28"/>
        <v>16235</v>
      </c>
      <c r="AA98" s="74">
        <v>9</v>
      </c>
      <c r="AB98" s="74">
        <v>2</v>
      </c>
      <c r="AC98" s="65"/>
      <c r="AD98" s="74">
        <v>8</v>
      </c>
      <c r="AE98" s="74">
        <v>1.5</v>
      </c>
      <c r="AF98" s="23"/>
      <c r="AG98" s="23"/>
    </row>
    <row r="99" spans="1:35" ht="17.25" customHeight="1" x14ac:dyDescent="0.3">
      <c r="A99" s="72">
        <f t="shared" si="29"/>
        <v>92</v>
      </c>
      <c r="B99" s="18">
        <v>101851390088</v>
      </c>
      <c r="C99" s="19">
        <v>6724343887</v>
      </c>
      <c r="D99" s="19" t="s">
        <v>180</v>
      </c>
      <c r="E99" s="38" t="s">
        <v>171</v>
      </c>
      <c r="F99" s="54" t="s">
        <v>174</v>
      </c>
      <c r="G99" s="17" t="s">
        <v>177</v>
      </c>
      <c r="H99" s="33">
        <v>1511</v>
      </c>
      <c r="I99" s="95">
        <v>29</v>
      </c>
      <c r="J99" s="21">
        <v>30</v>
      </c>
      <c r="K99" s="10">
        <v>13500</v>
      </c>
      <c r="L99" s="10">
        <v>0</v>
      </c>
      <c r="M99" s="10">
        <v>0</v>
      </c>
      <c r="N99" s="5">
        <f t="shared" si="21"/>
        <v>13500</v>
      </c>
      <c r="O99" s="11">
        <f t="shared" si="22"/>
        <v>13500</v>
      </c>
      <c r="P99" s="34">
        <f t="shared" si="23"/>
        <v>13500</v>
      </c>
      <c r="Q99" s="34">
        <f t="shared" si="24"/>
        <v>0</v>
      </c>
      <c r="R99" s="34">
        <f t="shared" si="25"/>
        <v>0</v>
      </c>
      <c r="S99" s="11"/>
      <c r="T99" s="35">
        <f t="shared" si="26"/>
        <v>13500</v>
      </c>
      <c r="U99" s="20">
        <f t="shared" si="31"/>
        <v>1620</v>
      </c>
      <c r="V99" s="24">
        <f>ROUNDUP(T99*0.75%,0)</f>
        <v>102</v>
      </c>
      <c r="W99" s="12"/>
      <c r="X99" s="6"/>
      <c r="Y99" s="3">
        <f t="shared" si="27"/>
        <v>1722</v>
      </c>
      <c r="Z99" s="37">
        <f t="shared" si="28"/>
        <v>11778</v>
      </c>
      <c r="AA99" s="74">
        <v>5</v>
      </c>
      <c r="AB99" s="74">
        <v>0</v>
      </c>
      <c r="AC99" s="65"/>
      <c r="AD99" s="74">
        <v>4</v>
      </c>
      <c r="AE99" s="74">
        <v>0.5</v>
      </c>
      <c r="AF99" s="23"/>
      <c r="AG99" s="23"/>
    </row>
    <row r="100" spans="1:35" ht="17.25" customHeight="1" x14ac:dyDescent="0.3">
      <c r="A100" s="72">
        <f t="shared" si="29"/>
        <v>93</v>
      </c>
      <c r="B100" s="48">
        <v>102049796068</v>
      </c>
      <c r="C100" s="48">
        <v>6723076326</v>
      </c>
      <c r="D100" s="48" t="s">
        <v>180</v>
      </c>
      <c r="E100" s="53" t="s">
        <v>118</v>
      </c>
      <c r="F100" s="49" t="s">
        <v>119</v>
      </c>
      <c r="G100" s="40" t="s">
        <v>120</v>
      </c>
      <c r="H100" s="79">
        <v>1512</v>
      </c>
      <c r="I100" s="96">
        <v>30</v>
      </c>
      <c r="J100" s="21">
        <v>30</v>
      </c>
      <c r="K100" s="50">
        <v>13580</v>
      </c>
      <c r="L100" s="50">
        <v>3280</v>
      </c>
      <c r="M100" s="50">
        <v>0</v>
      </c>
      <c r="N100" s="51">
        <f t="shared" si="21"/>
        <v>16860</v>
      </c>
      <c r="O100" s="52">
        <f t="shared" si="22"/>
        <v>16860</v>
      </c>
      <c r="P100" s="34">
        <f t="shared" si="23"/>
        <v>13580</v>
      </c>
      <c r="Q100" s="34">
        <f t="shared" si="24"/>
        <v>3280</v>
      </c>
      <c r="R100" s="34">
        <f t="shared" si="25"/>
        <v>0</v>
      </c>
      <c r="S100" s="11"/>
      <c r="T100" s="35">
        <f t="shared" si="26"/>
        <v>16860</v>
      </c>
      <c r="U100" s="55">
        <f t="shared" si="31"/>
        <v>1630</v>
      </c>
      <c r="V100" s="56">
        <f>ROUNDUP(T100*0.75%,0)</f>
        <v>127</v>
      </c>
      <c r="W100" s="12"/>
      <c r="X100" s="53"/>
      <c r="Y100" s="3">
        <f t="shared" si="27"/>
        <v>1757</v>
      </c>
      <c r="Z100" s="37">
        <f t="shared" si="28"/>
        <v>15103</v>
      </c>
      <c r="AA100" s="74">
        <v>9</v>
      </c>
      <c r="AB100" s="74">
        <v>2</v>
      </c>
      <c r="AC100" s="65"/>
      <c r="AD100" s="74">
        <v>8</v>
      </c>
      <c r="AE100" s="74">
        <v>1.5</v>
      </c>
      <c r="AF100" s="23"/>
      <c r="AG100" s="23"/>
    </row>
    <row r="101" spans="1:35" ht="17.25" customHeight="1" x14ac:dyDescent="0.3">
      <c r="A101" s="72">
        <f t="shared" si="29"/>
        <v>94</v>
      </c>
      <c r="B101" s="18">
        <v>102298537566</v>
      </c>
      <c r="C101" s="18" t="s">
        <v>27</v>
      </c>
      <c r="D101" s="19" t="s">
        <v>180</v>
      </c>
      <c r="E101" s="38" t="s">
        <v>310</v>
      </c>
      <c r="F101" s="73" t="s">
        <v>308</v>
      </c>
      <c r="G101" s="67" t="s">
        <v>309</v>
      </c>
      <c r="H101" s="33">
        <v>1515</v>
      </c>
      <c r="I101" s="95">
        <v>25</v>
      </c>
      <c r="J101" s="21">
        <v>30</v>
      </c>
      <c r="K101" s="10">
        <v>13580</v>
      </c>
      <c r="L101" s="10">
        <v>8420</v>
      </c>
      <c r="M101" s="10">
        <v>0</v>
      </c>
      <c r="N101" s="5">
        <f t="shared" si="21"/>
        <v>22000</v>
      </c>
      <c r="O101" s="11">
        <f t="shared" si="22"/>
        <v>22000</v>
      </c>
      <c r="P101" s="34">
        <f t="shared" si="23"/>
        <v>13580</v>
      </c>
      <c r="Q101" s="34">
        <f t="shared" si="24"/>
        <v>8420</v>
      </c>
      <c r="R101" s="34">
        <f t="shared" si="25"/>
        <v>0</v>
      </c>
      <c r="S101" s="11"/>
      <c r="T101" s="35">
        <f t="shared" si="26"/>
        <v>22000</v>
      </c>
      <c r="U101" s="20">
        <f t="shared" si="31"/>
        <v>1630</v>
      </c>
      <c r="V101" s="69">
        <v>0</v>
      </c>
      <c r="W101" s="12"/>
      <c r="X101" s="6"/>
      <c r="Y101" s="3">
        <f t="shared" si="27"/>
        <v>1630</v>
      </c>
      <c r="Z101" s="37">
        <f t="shared" si="28"/>
        <v>20370</v>
      </c>
      <c r="AA101" s="74">
        <v>1</v>
      </c>
      <c r="AB101" s="74">
        <v>0</v>
      </c>
      <c r="AC101" s="65"/>
      <c r="AD101" s="74">
        <v>3</v>
      </c>
      <c r="AE101" s="74">
        <v>1.5</v>
      </c>
      <c r="AF101" s="23"/>
      <c r="AG101" s="23"/>
    </row>
    <row r="102" spans="1:35" ht="17.25" customHeight="1" x14ac:dyDescent="0.3">
      <c r="A102" s="72">
        <f t="shared" si="29"/>
        <v>95</v>
      </c>
      <c r="B102" s="18">
        <v>102147256830</v>
      </c>
      <c r="C102" s="18" t="s">
        <v>27</v>
      </c>
      <c r="D102" s="19" t="s">
        <v>180</v>
      </c>
      <c r="E102" s="38" t="s">
        <v>312</v>
      </c>
      <c r="F102" s="73" t="s">
        <v>314</v>
      </c>
      <c r="G102" s="67" t="s">
        <v>316</v>
      </c>
      <c r="H102" s="33">
        <v>1588</v>
      </c>
      <c r="I102" s="95">
        <v>30</v>
      </c>
      <c r="J102" s="21">
        <v>30</v>
      </c>
      <c r="K102" s="10">
        <v>13580</v>
      </c>
      <c r="L102" s="10">
        <v>9600</v>
      </c>
      <c r="M102" s="10">
        <v>820</v>
      </c>
      <c r="N102" s="5">
        <f t="shared" si="21"/>
        <v>24000</v>
      </c>
      <c r="O102" s="11">
        <f t="shared" si="22"/>
        <v>24000</v>
      </c>
      <c r="P102" s="34">
        <f t="shared" si="23"/>
        <v>13580</v>
      </c>
      <c r="Q102" s="34">
        <f t="shared" si="24"/>
        <v>9600</v>
      </c>
      <c r="R102" s="34">
        <f t="shared" si="25"/>
        <v>820</v>
      </c>
      <c r="S102" s="11"/>
      <c r="T102" s="35">
        <f t="shared" si="26"/>
        <v>24000</v>
      </c>
      <c r="U102" s="20">
        <f t="shared" si="31"/>
        <v>1630</v>
      </c>
      <c r="V102" s="69">
        <v>0</v>
      </c>
      <c r="W102" s="12"/>
      <c r="X102" s="6"/>
      <c r="Y102" s="3">
        <f t="shared" si="27"/>
        <v>1630</v>
      </c>
      <c r="Z102" s="37">
        <f t="shared" si="28"/>
        <v>22370</v>
      </c>
      <c r="AA102" s="74">
        <v>1</v>
      </c>
      <c r="AB102" s="74">
        <v>0.5</v>
      </c>
      <c r="AC102" s="65"/>
      <c r="AD102" s="74">
        <v>0</v>
      </c>
      <c r="AE102" s="74">
        <v>0</v>
      </c>
      <c r="AF102" s="23"/>
      <c r="AG102" s="23"/>
    </row>
    <row r="103" spans="1:35" ht="17.25" customHeight="1" x14ac:dyDescent="0.3">
      <c r="A103" s="72">
        <f t="shared" si="29"/>
        <v>96</v>
      </c>
      <c r="B103" s="18">
        <v>101858722110</v>
      </c>
      <c r="C103" s="18">
        <v>6725410176</v>
      </c>
      <c r="D103" s="19"/>
      <c r="E103" s="38" t="s">
        <v>302</v>
      </c>
      <c r="F103" s="54" t="s">
        <v>303</v>
      </c>
      <c r="G103" s="67" t="s">
        <v>304</v>
      </c>
      <c r="H103" s="33">
        <v>1610</v>
      </c>
      <c r="I103" s="110">
        <v>30</v>
      </c>
      <c r="J103" s="21">
        <v>30</v>
      </c>
      <c r="K103" s="10">
        <v>13580</v>
      </c>
      <c r="L103" s="10">
        <v>1420</v>
      </c>
      <c r="M103" s="10">
        <v>0</v>
      </c>
      <c r="N103" s="5">
        <f t="shared" si="21"/>
        <v>15000</v>
      </c>
      <c r="O103" s="11">
        <f t="shared" si="22"/>
        <v>15000</v>
      </c>
      <c r="P103" s="34">
        <f t="shared" si="23"/>
        <v>13580</v>
      </c>
      <c r="Q103" s="34">
        <f t="shared" si="24"/>
        <v>1420</v>
      </c>
      <c r="R103" s="34">
        <f t="shared" si="25"/>
        <v>0</v>
      </c>
      <c r="S103" s="11"/>
      <c r="T103" s="35">
        <f t="shared" si="26"/>
        <v>15000</v>
      </c>
      <c r="U103" s="20">
        <f t="shared" si="31"/>
        <v>1630</v>
      </c>
      <c r="V103" s="24">
        <f t="shared" ref="V103:V111" si="32">ROUNDUP(T103*0.75%,0)</f>
        <v>113</v>
      </c>
      <c r="W103" s="12"/>
      <c r="X103" s="6"/>
      <c r="Y103" s="3">
        <f t="shared" si="27"/>
        <v>1743</v>
      </c>
      <c r="Z103" s="37">
        <f t="shared" si="28"/>
        <v>13257</v>
      </c>
      <c r="AA103" s="74">
        <v>4</v>
      </c>
      <c r="AB103" s="74">
        <v>2</v>
      </c>
      <c r="AC103" s="65"/>
      <c r="AD103" s="74">
        <v>3</v>
      </c>
      <c r="AE103" s="74">
        <v>1.5</v>
      </c>
      <c r="AF103" s="23"/>
      <c r="AG103" s="23"/>
    </row>
    <row r="104" spans="1:35" ht="17.25" customHeight="1" x14ac:dyDescent="0.3">
      <c r="A104" s="72">
        <f t="shared" si="29"/>
        <v>97</v>
      </c>
      <c r="B104" s="18">
        <v>102315755316</v>
      </c>
      <c r="C104" s="18">
        <v>6725464770</v>
      </c>
      <c r="D104" s="19" t="s">
        <v>180</v>
      </c>
      <c r="E104" s="38" t="s">
        <v>332</v>
      </c>
      <c r="F104" s="73" t="s">
        <v>324</v>
      </c>
      <c r="G104" s="67" t="s">
        <v>328</v>
      </c>
      <c r="H104" s="33">
        <v>1622</v>
      </c>
      <c r="I104" s="95">
        <v>30</v>
      </c>
      <c r="J104" s="21">
        <v>30</v>
      </c>
      <c r="K104" s="10">
        <v>13580</v>
      </c>
      <c r="L104" s="10">
        <v>4420</v>
      </c>
      <c r="M104" s="10">
        <v>0</v>
      </c>
      <c r="N104" s="5">
        <f t="shared" ref="N104:N113" si="33">K104+L104+M104</f>
        <v>18000</v>
      </c>
      <c r="O104" s="11">
        <f t="shared" ref="O104:O113" si="34">N104</f>
        <v>18000</v>
      </c>
      <c r="P104" s="34">
        <f t="shared" ref="P104:P113" si="35">ROUND(K104/$AC$3*J104,0)</f>
        <v>13580</v>
      </c>
      <c r="Q104" s="34">
        <f t="shared" ref="Q104:Q113" si="36">ROUND(L104/$AC$3*J104,0)</f>
        <v>4420</v>
      </c>
      <c r="R104" s="34">
        <f t="shared" ref="R104:R113" si="37">ROUND(M104/$AC$3*J104,0)</f>
        <v>0</v>
      </c>
      <c r="S104" s="11"/>
      <c r="T104" s="35">
        <f t="shared" ref="T104:T113" si="38">P104+Q104+R104</f>
        <v>18000</v>
      </c>
      <c r="U104" s="20">
        <f t="shared" si="31"/>
        <v>1630</v>
      </c>
      <c r="V104" s="24">
        <f t="shared" si="32"/>
        <v>135</v>
      </c>
      <c r="W104" s="12"/>
      <c r="X104" s="6"/>
      <c r="Y104" s="3">
        <f t="shared" ref="Y104:Y113" si="39">U104+V104+W104+X104</f>
        <v>1765</v>
      </c>
      <c r="Z104" s="37">
        <f t="shared" ref="Z104:Z113" si="40">T104-Y104</f>
        <v>16235</v>
      </c>
      <c r="AA104" s="74">
        <v>2</v>
      </c>
      <c r="AB104" s="74">
        <v>1</v>
      </c>
      <c r="AC104" s="65"/>
      <c r="AD104" s="74">
        <v>1</v>
      </c>
      <c r="AE104" s="74">
        <v>0.5</v>
      </c>
      <c r="AF104" s="23"/>
      <c r="AG104" s="23"/>
    </row>
    <row r="105" spans="1:35" ht="17.25" customHeight="1" x14ac:dyDescent="0.3">
      <c r="A105" s="72">
        <f t="shared" ref="A105:A113" si="41">A104+1</f>
        <v>98</v>
      </c>
      <c r="B105" s="18">
        <v>102309382438</v>
      </c>
      <c r="C105" s="18">
        <v>6725468516</v>
      </c>
      <c r="D105" s="19"/>
      <c r="E105" s="38" t="s">
        <v>318</v>
      </c>
      <c r="F105" s="73" t="s">
        <v>319</v>
      </c>
      <c r="G105" s="67" t="s">
        <v>320</v>
      </c>
      <c r="H105" s="33">
        <v>1639</v>
      </c>
      <c r="I105" s="110">
        <v>30</v>
      </c>
      <c r="J105" s="21">
        <v>30</v>
      </c>
      <c r="K105" s="10">
        <v>13580</v>
      </c>
      <c r="L105" s="10">
        <v>6420</v>
      </c>
      <c r="M105" s="10">
        <v>0</v>
      </c>
      <c r="N105" s="5">
        <f t="shared" si="33"/>
        <v>20000</v>
      </c>
      <c r="O105" s="11">
        <f t="shared" si="34"/>
        <v>20000</v>
      </c>
      <c r="P105" s="34">
        <f t="shared" si="35"/>
        <v>13580</v>
      </c>
      <c r="Q105" s="34">
        <f t="shared" si="36"/>
        <v>6420</v>
      </c>
      <c r="R105" s="34">
        <f t="shared" si="37"/>
        <v>0</v>
      </c>
      <c r="S105" s="11"/>
      <c r="T105" s="35">
        <f t="shared" si="38"/>
        <v>20000</v>
      </c>
      <c r="U105" s="20">
        <f t="shared" si="31"/>
        <v>1630</v>
      </c>
      <c r="V105" s="24">
        <f t="shared" si="32"/>
        <v>150</v>
      </c>
      <c r="W105" s="12"/>
      <c r="X105" s="6"/>
      <c r="Y105" s="3">
        <f t="shared" si="39"/>
        <v>1780</v>
      </c>
      <c r="Z105" s="37">
        <f t="shared" si="40"/>
        <v>18220</v>
      </c>
      <c r="AA105" s="74">
        <v>2</v>
      </c>
      <c r="AB105" s="74">
        <v>1</v>
      </c>
      <c r="AC105" s="65"/>
      <c r="AD105" s="74">
        <v>1</v>
      </c>
      <c r="AE105" s="74">
        <v>0.5</v>
      </c>
      <c r="AF105" s="23"/>
      <c r="AG105" s="23"/>
    </row>
    <row r="106" spans="1:35" ht="17.25" customHeight="1" x14ac:dyDescent="0.3">
      <c r="A106" s="72">
        <f t="shared" si="41"/>
        <v>99</v>
      </c>
      <c r="B106" s="18">
        <v>102316681336</v>
      </c>
      <c r="C106" s="18">
        <v>6725579800</v>
      </c>
      <c r="D106" s="19" t="s">
        <v>180</v>
      </c>
      <c r="E106" s="106" t="s">
        <v>333</v>
      </c>
      <c r="F106" s="73" t="s">
        <v>329</v>
      </c>
      <c r="G106" s="67" t="s">
        <v>330</v>
      </c>
      <c r="H106" s="33">
        <v>1672</v>
      </c>
      <c r="I106" s="95">
        <v>29</v>
      </c>
      <c r="J106" s="21">
        <v>30</v>
      </c>
      <c r="K106" s="10">
        <v>13580</v>
      </c>
      <c r="L106" s="10">
        <v>4420</v>
      </c>
      <c r="M106" s="10">
        <v>0</v>
      </c>
      <c r="N106" s="5">
        <f t="shared" si="33"/>
        <v>18000</v>
      </c>
      <c r="O106" s="11">
        <f t="shared" si="34"/>
        <v>18000</v>
      </c>
      <c r="P106" s="34">
        <f t="shared" si="35"/>
        <v>13580</v>
      </c>
      <c r="Q106" s="34">
        <f t="shared" si="36"/>
        <v>4420</v>
      </c>
      <c r="R106" s="34">
        <f t="shared" si="37"/>
        <v>0</v>
      </c>
      <c r="S106" s="11"/>
      <c r="T106" s="35">
        <f t="shared" si="38"/>
        <v>18000</v>
      </c>
      <c r="U106" s="20">
        <f t="shared" si="31"/>
        <v>1630</v>
      </c>
      <c r="V106" s="24">
        <f t="shared" si="32"/>
        <v>135</v>
      </c>
      <c r="W106" s="12"/>
      <c r="X106" s="6"/>
      <c r="Y106" s="3">
        <f t="shared" si="39"/>
        <v>1765</v>
      </c>
      <c r="Z106" s="148">
        <f t="shared" si="40"/>
        <v>16235</v>
      </c>
      <c r="AA106" s="149">
        <v>2</v>
      </c>
      <c r="AB106" s="149">
        <v>0</v>
      </c>
      <c r="AC106" s="150">
        <v>96</v>
      </c>
      <c r="AD106" s="74">
        <v>1</v>
      </c>
      <c r="AE106" s="74">
        <v>0.5</v>
      </c>
      <c r="AF106" s="152" t="s">
        <v>354</v>
      </c>
      <c r="AG106" s="23"/>
    </row>
    <row r="107" spans="1:35" ht="17.25" customHeight="1" x14ac:dyDescent="0.3">
      <c r="A107" s="72">
        <f t="shared" si="41"/>
        <v>100</v>
      </c>
      <c r="B107" s="18">
        <v>102318351063</v>
      </c>
      <c r="C107" s="18">
        <v>6725539367</v>
      </c>
      <c r="D107" s="19"/>
      <c r="E107" s="38" t="s">
        <v>250</v>
      </c>
      <c r="F107" s="73" t="s">
        <v>321</v>
      </c>
      <c r="G107" s="67" t="s">
        <v>325</v>
      </c>
      <c r="H107" s="33">
        <v>1676</v>
      </c>
      <c r="I107" s="110">
        <v>30</v>
      </c>
      <c r="J107" s="21">
        <v>30</v>
      </c>
      <c r="K107" s="10">
        <v>13580</v>
      </c>
      <c r="L107" s="10">
        <v>6420</v>
      </c>
      <c r="M107" s="10">
        <v>0</v>
      </c>
      <c r="N107" s="5">
        <f t="shared" si="33"/>
        <v>20000</v>
      </c>
      <c r="O107" s="11">
        <f t="shared" si="34"/>
        <v>20000</v>
      </c>
      <c r="P107" s="34">
        <f t="shared" si="35"/>
        <v>13580</v>
      </c>
      <c r="Q107" s="34">
        <f t="shared" si="36"/>
        <v>6420</v>
      </c>
      <c r="R107" s="34">
        <f t="shared" si="37"/>
        <v>0</v>
      </c>
      <c r="S107" s="11"/>
      <c r="T107" s="35">
        <f t="shared" si="38"/>
        <v>20000</v>
      </c>
      <c r="U107" s="20">
        <f t="shared" si="31"/>
        <v>1630</v>
      </c>
      <c r="V107" s="24">
        <f t="shared" si="32"/>
        <v>150</v>
      </c>
      <c r="W107" s="12"/>
      <c r="X107" s="6"/>
      <c r="Y107" s="3">
        <f t="shared" si="39"/>
        <v>1780</v>
      </c>
      <c r="Z107" s="37">
        <f t="shared" si="40"/>
        <v>18220</v>
      </c>
      <c r="AA107" s="74">
        <v>2</v>
      </c>
      <c r="AB107" s="74">
        <v>1</v>
      </c>
      <c r="AC107" s="65"/>
      <c r="AD107" s="74">
        <v>1</v>
      </c>
      <c r="AE107" s="74">
        <v>0.5</v>
      </c>
      <c r="AF107" s="23"/>
      <c r="AG107" s="23"/>
    </row>
    <row r="108" spans="1:35" ht="17.25" customHeight="1" x14ac:dyDescent="0.3">
      <c r="A108" s="72">
        <f t="shared" si="41"/>
        <v>101</v>
      </c>
      <c r="B108" s="18">
        <v>102318011411</v>
      </c>
      <c r="C108" s="18">
        <v>6725539381</v>
      </c>
      <c r="D108" s="19"/>
      <c r="E108" s="38" t="s">
        <v>331</v>
      </c>
      <c r="F108" s="73" t="s">
        <v>322</v>
      </c>
      <c r="G108" s="67" t="s">
        <v>326</v>
      </c>
      <c r="H108" s="33">
        <v>1752</v>
      </c>
      <c r="I108" s="110">
        <v>30</v>
      </c>
      <c r="J108" s="21">
        <v>30</v>
      </c>
      <c r="K108" s="10">
        <v>13580</v>
      </c>
      <c r="L108" s="10">
        <v>4420</v>
      </c>
      <c r="M108" s="10">
        <v>0</v>
      </c>
      <c r="N108" s="5">
        <f t="shared" si="33"/>
        <v>18000</v>
      </c>
      <c r="O108" s="11">
        <f t="shared" si="34"/>
        <v>18000</v>
      </c>
      <c r="P108" s="34">
        <f t="shared" si="35"/>
        <v>13580</v>
      </c>
      <c r="Q108" s="34">
        <f t="shared" si="36"/>
        <v>4420</v>
      </c>
      <c r="R108" s="34">
        <f t="shared" si="37"/>
        <v>0</v>
      </c>
      <c r="S108" s="11"/>
      <c r="T108" s="35">
        <f t="shared" si="38"/>
        <v>18000</v>
      </c>
      <c r="U108" s="20">
        <f t="shared" si="31"/>
        <v>1630</v>
      </c>
      <c r="V108" s="24">
        <f t="shared" si="32"/>
        <v>135</v>
      </c>
      <c r="W108" s="12"/>
      <c r="X108" s="6"/>
      <c r="Y108" s="3">
        <f t="shared" si="39"/>
        <v>1765</v>
      </c>
      <c r="Z108" s="37">
        <f t="shared" si="40"/>
        <v>16235</v>
      </c>
      <c r="AA108" s="74">
        <v>1</v>
      </c>
      <c r="AB108" s="74">
        <v>0.5</v>
      </c>
      <c r="AC108" s="65"/>
      <c r="AD108" s="74">
        <v>0</v>
      </c>
      <c r="AE108" s="74">
        <v>0</v>
      </c>
      <c r="AF108" s="23"/>
      <c r="AG108" s="23"/>
    </row>
    <row r="109" spans="1:35" ht="17.25" customHeight="1" x14ac:dyDescent="0.3">
      <c r="A109" s="72">
        <f t="shared" si="41"/>
        <v>102</v>
      </c>
      <c r="B109" s="18">
        <v>102318385690</v>
      </c>
      <c r="C109" s="18">
        <v>6725539386</v>
      </c>
      <c r="D109" s="19"/>
      <c r="E109" s="38" t="s">
        <v>334</v>
      </c>
      <c r="F109" s="73" t="s">
        <v>323</v>
      </c>
      <c r="G109" s="67" t="s">
        <v>327</v>
      </c>
      <c r="H109" s="33">
        <v>1753</v>
      </c>
      <c r="I109" s="110">
        <v>30</v>
      </c>
      <c r="J109" s="21">
        <v>30</v>
      </c>
      <c r="K109" s="10">
        <v>13580</v>
      </c>
      <c r="L109" s="10">
        <v>6420</v>
      </c>
      <c r="M109" s="10">
        <v>0</v>
      </c>
      <c r="N109" s="5">
        <f t="shared" si="33"/>
        <v>20000</v>
      </c>
      <c r="O109" s="11">
        <f t="shared" si="34"/>
        <v>20000</v>
      </c>
      <c r="P109" s="34">
        <f t="shared" si="35"/>
        <v>13580</v>
      </c>
      <c r="Q109" s="34">
        <f t="shared" si="36"/>
        <v>6420</v>
      </c>
      <c r="R109" s="34">
        <f t="shared" si="37"/>
        <v>0</v>
      </c>
      <c r="S109" s="11"/>
      <c r="T109" s="35">
        <f t="shared" si="38"/>
        <v>20000</v>
      </c>
      <c r="U109" s="20">
        <f t="shared" si="31"/>
        <v>1630</v>
      </c>
      <c r="V109" s="24">
        <f t="shared" si="32"/>
        <v>150</v>
      </c>
      <c r="W109" s="12"/>
      <c r="X109" s="6"/>
      <c r="Y109" s="3">
        <f t="shared" si="39"/>
        <v>1780</v>
      </c>
      <c r="Z109" s="37">
        <f t="shared" si="40"/>
        <v>18220</v>
      </c>
      <c r="AA109" s="74">
        <v>1</v>
      </c>
      <c r="AB109" s="74">
        <v>0.5</v>
      </c>
      <c r="AC109" s="65"/>
      <c r="AD109" s="74">
        <v>0</v>
      </c>
      <c r="AE109" s="74">
        <v>0</v>
      </c>
      <c r="AF109" s="23"/>
      <c r="AG109" s="23"/>
    </row>
    <row r="110" spans="1:35" s="135" customFormat="1" ht="17.25" customHeight="1" x14ac:dyDescent="0.3">
      <c r="A110" s="118">
        <f t="shared" si="41"/>
        <v>103</v>
      </c>
      <c r="B110" s="119">
        <v>101924919609</v>
      </c>
      <c r="C110" s="119" t="s">
        <v>27</v>
      </c>
      <c r="D110" s="120" t="s">
        <v>180</v>
      </c>
      <c r="E110" s="85" t="s">
        <v>313</v>
      </c>
      <c r="F110" s="86" t="s">
        <v>315</v>
      </c>
      <c r="G110" s="87" t="s">
        <v>317</v>
      </c>
      <c r="H110" s="101"/>
      <c r="I110" s="97">
        <v>6</v>
      </c>
      <c r="J110" s="89">
        <v>6</v>
      </c>
      <c r="K110" s="12">
        <v>13580</v>
      </c>
      <c r="L110" s="12">
        <v>8420</v>
      </c>
      <c r="M110" s="12">
        <v>0</v>
      </c>
      <c r="N110" s="125">
        <f t="shared" si="33"/>
        <v>22000</v>
      </c>
      <c r="O110" s="126">
        <f t="shared" si="34"/>
        <v>22000</v>
      </c>
      <c r="P110" s="127">
        <f t="shared" si="35"/>
        <v>2716</v>
      </c>
      <c r="Q110" s="127">
        <f t="shared" si="36"/>
        <v>1684</v>
      </c>
      <c r="R110" s="127">
        <f t="shared" si="37"/>
        <v>0</v>
      </c>
      <c r="S110" s="126"/>
      <c r="T110" s="128">
        <f t="shared" si="38"/>
        <v>4400</v>
      </c>
      <c r="U110" s="129">
        <f t="shared" si="31"/>
        <v>326</v>
      </c>
      <c r="V110" s="137">
        <v>0</v>
      </c>
      <c r="W110" s="12"/>
      <c r="X110" s="39"/>
      <c r="Y110" s="131">
        <f t="shared" si="39"/>
        <v>326</v>
      </c>
      <c r="Z110" s="132">
        <f t="shared" si="40"/>
        <v>4074</v>
      </c>
      <c r="AA110" s="133">
        <v>0</v>
      </c>
      <c r="AB110" s="133">
        <v>0</v>
      </c>
      <c r="AC110" s="134"/>
      <c r="AD110" s="133">
        <v>0</v>
      </c>
      <c r="AE110" s="133">
        <v>0</v>
      </c>
      <c r="AF110" s="23"/>
      <c r="AG110" s="23"/>
      <c r="AI110" s="138" t="s">
        <v>349</v>
      </c>
    </row>
    <row r="111" spans="1:35" ht="17.25" customHeight="1" x14ac:dyDescent="0.3">
      <c r="A111" s="72">
        <f t="shared" si="41"/>
        <v>104</v>
      </c>
      <c r="B111" s="4"/>
      <c r="C111" s="151"/>
      <c r="D111" s="81" t="s">
        <v>180</v>
      </c>
      <c r="E111" s="38" t="s">
        <v>350</v>
      </c>
      <c r="F111" s="82" t="s">
        <v>351</v>
      </c>
      <c r="G111" s="83" t="s">
        <v>352</v>
      </c>
      <c r="H111" s="109"/>
      <c r="I111" s="95">
        <v>27</v>
      </c>
      <c r="J111" s="21">
        <v>27</v>
      </c>
      <c r="K111" s="10">
        <v>13580</v>
      </c>
      <c r="L111" s="10">
        <v>4420</v>
      </c>
      <c r="M111" s="10">
        <v>0</v>
      </c>
      <c r="N111" s="5">
        <f t="shared" si="33"/>
        <v>18000</v>
      </c>
      <c r="O111" s="11">
        <f t="shared" si="34"/>
        <v>18000</v>
      </c>
      <c r="P111" s="34">
        <f t="shared" si="35"/>
        <v>12222</v>
      </c>
      <c r="Q111" s="34">
        <f t="shared" si="36"/>
        <v>3978</v>
      </c>
      <c r="R111" s="34">
        <f t="shared" si="37"/>
        <v>0</v>
      </c>
      <c r="S111" s="11"/>
      <c r="T111" s="35">
        <f t="shared" si="38"/>
        <v>16200</v>
      </c>
      <c r="U111" s="20">
        <f t="shared" si="31"/>
        <v>1467</v>
      </c>
      <c r="V111" s="24">
        <f t="shared" si="32"/>
        <v>122</v>
      </c>
      <c r="W111" s="10"/>
      <c r="X111" s="6"/>
      <c r="Y111" s="3">
        <f t="shared" si="39"/>
        <v>1589</v>
      </c>
      <c r="Z111" s="37">
        <f t="shared" si="40"/>
        <v>14611</v>
      </c>
      <c r="AA111" s="74">
        <v>1</v>
      </c>
      <c r="AB111" s="74">
        <v>0.5</v>
      </c>
      <c r="AC111" s="84"/>
      <c r="AD111" s="74"/>
      <c r="AE111" s="74"/>
    </row>
    <row r="112" spans="1:35" ht="17.25" customHeight="1" x14ac:dyDescent="0.3">
      <c r="A112" s="72">
        <f t="shared" si="41"/>
        <v>105</v>
      </c>
      <c r="B112" s="4"/>
      <c r="C112" s="151"/>
      <c r="D112" s="81" t="s">
        <v>180</v>
      </c>
      <c r="E112" s="38" t="s">
        <v>338</v>
      </c>
      <c r="F112" s="82" t="s">
        <v>340</v>
      </c>
      <c r="G112" s="83" t="s">
        <v>342</v>
      </c>
      <c r="H112" s="109"/>
      <c r="I112" s="95">
        <v>22</v>
      </c>
      <c r="J112" s="21">
        <v>22</v>
      </c>
      <c r="K112" s="10">
        <v>13580</v>
      </c>
      <c r="L112" s="10">
        <v>6420</v>
      </c>
      <c r="M112" s="10">
        <v>0</v>
      </c>
      <c r="N112" s="5">
        <f t="shared" si="33"/>
        <v>20000</v>
      </c>
      <c r="O112" s="11">
        <f t="shared" si="34"/>
        <v>20000</v>
      </c>
      <c r="P112" s="34">
        <f t="shared" si="35"/>
        <v>9959</v>
      </c>
      <c r="Q112" s="34">
        <f t="shared" si="36"/>
        <v>4708</v>
      </c>
      <c r="R112" s="34">
        <f t="shared" si="37"/>
        <v>0</v>
      </c>
      <c r="S112" s="11"/>
      <c r="T112" s="35">
        <f t="shared" si="38"/>
        <v>14667</v>
      </c>
      <c r="U112" s="20">
        <f t="shared" si="31"/>
        <v>1195</v>
      </c>
      <c r="V112" s="24">
        <f>ROUNDUP(T112*0.75%,0)</f>
        <v>111</v>
      </c>
      <c r="W112" s="10"/>
      <c r="X112" s="6"/>
      <c r="Y112" s="3">
        <f t="shared" si="39"/>
        <v>1306</v>
      </c>
      <c r="Z112" s="37">
        <f t="shared" si="40"/>
        <v>13361</v>
      </c>
      <c r="AA112" s="74">
        <v>1</v>
      </c>
      <c r="AB112" s="74">
        <v>0.5</v>
      </c>
      <c r="AC112" s="84"/>
      <c r="AD112" s="74"/>
      <c r="AE112" s="74"/>
    </row>
    <row r="113" spans="1:31" ht="17.25" customHeight="1" x14ac:dyDescent="0.3">
      <c r="A113" s="72">
        <f t="shared" si="41"/>
        <v>106</v>
      </c>
      <c r="B113" s="4"/>
      <c r="C113" s="4"/>
      <c r="D113" s="81"/>
      <c r="E113" s="38" t="s">
        <v>339</v>
      </c>
      <c r="F113" s="82" t="s">
        <v>341</v>
      </c>
      <c r="G113" s="83" t="s">
        <v>343</v>
      </c>
      <c r="H113" s="33">
        <v>1754</v>
      </c>
      <c r="I113" s="110">
        <v>30</v>
      </c>
      <c r="J113" s="21">
        <v>30</v>
      </c>
      <c r="K113" s="10">
        <v>20900</v>
      </c>
      <c r="L113" s="10">
        <v>16720</v>
      </c>
      <c r="M113" s="10">
        <v>4180</v>
      </c>
      <c r="N113" s="5">
        <f t="shared" si="33"/>
        <v>41800</v>
      </c>
      <c r="O113" s="11">
        <f t="shared" si="34"/>
        <v>41800</v>
      </c>
      <c r="P113" s="34">
        <f t="shared" si="35"/>
        <v>20900</v>
      </c>
      <c r="Q113" s="34">
        <f t="shared" si="36"/>
        <v>16720</v>
      </c>
      <c r="R113" s="34">
        <f t="shared" si="37"/>
        <v>4180</v>
      </c>
      <c r="S113" s="11"/>
      <c r="T113" s="35">
        <f t="shared" si="38"/>
        <v>41800</v>
      </c>
      <c r="U113" s="20">
        <f t="shared" si="31"/>
        <v>1800</v>
      </c>
      <c r="V113" s="69">
        <v>0</v>
      </c>
      <c r="W113" s="10"/>
      <c r="X113" s="6"/>
      <c r="Y113" s="3">
        <f t="shared" si="39"/>
        <v>1800</v>
      </c>
      <c r="Z113" s="37">
        <f t="shared" si="40"/>
        <v>40000</v>
      </c>
      <c r="AA113" s="74">
        <v>1</v>
      </c>
      <c r="AB113" s="74">
        <v>0.5</v>
      </c>
      <c r="AC113" s="84"/>
      <c r="AD113" s="74"/>
      <c r="AE113" s="74"/>
    </row>
    <row r="114" spans="1:31" x14ac:dyDescent="0.3">
      <c r="O114" s="75">
        <f t="shared" ref="O114:Z114" si="42">SUM(O8:O113)</f>
        <v>3741565</v>
      </c>
      <c r="P114" s="75">
        <f t="shared" si="42"/>
        <v>2019981</v>
      </c>
      <c r="Q114" s="75">
        <f t="shared" si="42"/>
        <v>1366679</v>
      </c>
      <c r="R114" s="75">
        <f t="shared" si="42"/>
        <v>276641</v>
      </c>
      <c r="S114" s="75">
        <f t="shared" si="42"/>
        <v>0</v>
      </c>
      <c r="T114" s="75">
        <f t="shared" si="42"/>
        <v>3663301</v>
      </c>
      <c r="U114" s="75">
        <f t="shared" si="42"/>
        <v>155214</v>
      </c>
      <c r="V114" s="75">
        <f t="shared" si="42"/>
        <v>4577</v>
      </c>
      <c r="W114" s="75">
        <f t="shared" si="42"/>
        <v>12733</v>
      </c>
      <c r="X114" s="75">
        <f t="shared" si="42"/>
        <v>50000</v>
      </c>
      <c r="Y114" s="75">
        <f t="shared" si="42"/>
        <v>222524</v>
      </c>
      <c r="Z114" s="75">
        <f t="shared" si="42"/>
        <v>3440777</v>
      </c>
    </row>
    <row r="116" spans="1:31" x14ac:dyDescent="0.3">
      <c r="O116" s="41"/>
    </row>
  </sheetData>
  <mergeCells count="4">
    <mergeCell ref="U6:X6"/>
    <mergeCell ref="A1:H1"/>
    <mergeCell ref="A2:AA3"/>
    <mergeCell ref="A5:Z5"/>
  </mergeCells>
  <pageMargins left="0.7" right="0.7" top="0.75" bottom="0.75" header="0.3" footer="0.3"/>
  <pageSetup scale="4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APR'26</vt:lpstr>
      <vt:lpstr>'APR''26'!Print_Area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Negi</dc:creator>
  <cp:lastModifiedBy>User</cp:lastModifiedBy>
  <cp:lastPrinted>2025-09-03T13:30:12Z</cp:lastPrinted>
  <dcterms:created xsi:type="dcterms:W3CDTF">2024-12-18T14:00:23Z</dcterms:created>
  <dcterms:modified xsi:type="dcterms:W3CDTF">2026-05-19T09:06:43Z</dcterms:modified>
</cp:coreProperties>
</file>