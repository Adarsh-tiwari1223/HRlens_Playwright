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190" activeTab="1"/>
  </bookViews>
  <sheets>
    <sheet name="Vyze" sheetId="1" r:id="rId1"/>
    <sheet name="Adventa" sheetId="2" r:id="rId2"/>
  </sheets>
  <definedNames>
    <definedName name="_xlnm._FilterDatabase" localSheetId="1" hidden="1">Adventa!$A$3:$I$57</definedName>
    <definedName name="_xlnm._FilterDatabase" localSheetId="0" hidden="1">Vyze!$A$3:$J$46</definedName>
  </definedNames>
  <calcPr calcId="152511"/>
</workbook>
</file>

<file path=xl/calcChain.xml><?xml version="1.0" encoding="utf-8"?>
<calcChain xmlns="http://schemas.openxmlformats.org/spreadsheetml/2006/main">
  <c r="F56" i="2" l="1"/>
  <c r="M48" i="1" l="1"/>
  <c r="J48" i="1"/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5" i="1"/>
</calcChain>
</file>

<file path=xl/sharedStrings.xml><?xml version="1.0" encoding="utf-8"?>
<sst xmlns="http://schemas.openxmlformats.org/spreadsheetml/2006/main" count="185" uniqueCount="135">
  <si>
    <t>S.N</t>
  </si>
  <si>
    <t>BRANCH</t>
  </si>
  <si>
    <t>Emp. Name</t>
  </si>
  <si>
    <t>ORISSA</t>
  </si>
  <si>
    <t>SUSHANT KUMAR NAYAK</t>
  </si>
  <si>
    <t>AMAR NATH BARIK</t>
  </si>
  <si>
    <t>ASIT KUMAR ROUT</t>
  </si>
  <si>
    <t>GAGAN KUMAR PRADHAN</t>
  </si>
  <si>
    <t>VI041</t>
  </si>
  <si>
    <t>KALYANI KHANDUAL PRADHAN</t>
  </si>
  <si>
    <t>VI042</t>
  </si>
  <si>
    <t>HAREKRUSHNA BALABANTARAY</t>
  </si>
  <si>
    <t>NARESH KUMAR JENA</t>
  </si>
  <si>
    <t>SANGITA GHADAI</t>
  </si>
  <si>
    <t>SOUDAMINI GHADAI</t>
  </si>
  <si>
    <t>MUKESH KUMAR MAHARANA</t>
  </si>
  <si>
    <t>SAGAR KUMAR BEHERA</t>
  </si>
  <si>
    <t>AYAS JENA</t>
  </si>
  <si>
    <t>SUJIT KUMAR DASH</t>
  </si>
  <si>
    <t>ANITA RANI SAHOO</t>
  </si>
  <si>
    <t>AVILASH MAHARANA</t>
  </si>
  <si>
    <t>MD EKLAK AHMED</t>
  </si>
  <si>
    <t>MANENDRA DAS</t>
  </si>
  <si>
    <t>BASANTA PAITAL</t>
  </si>
  <si>
    <t>VI-200</t>
  </si>
  <si>
    <t>TAPNAKAR DAS</t>
  </si>
  <si>
    <t>VI-202</t>
  </si>
  <si>
    <t>KALANDI CHARAN SAHOO</t>
  </si>
  <si>
    <t>VI-198</t>
  </si>
  <si>
    <t>SHAIK MOHASIN</t>
  </si>
  <si>
    <t>ANKITA ROUL</t>
  </si>
  <si>
    <t>ABINASH KUMAR SAHOO</t>
  </si>
  <si>
    <t>SOUMYA RANJAN MALLICK</t>
  </si>
  <si>
    <t>PRIYABRATA PRADHAN</t>
  </si>
  <si>
    <t>GANESWAR PRADHAN</t>
  </si>
  <si>
    <t>VI-242</t>
  </si>
  <si>
    <t>SUJATA PRADHAN</t>
  </si>
  <si>
    <t>AMIT KUMAR PRADHAN</t>
  </si>
  <si>
    <t>SANDHYARANI BEHERA</t>
  </si>
  <si>
    <t>LIPSA MOHANTY</t>
  </si>
  <si>
    <t>SANGYA KUMARI NAHAK</t>
  </si>
  <si>
    <t>SANKHI TUDU</t>
  </si>
  <si>
    <t>SRADHA SUMAN NAYAK</t>
  </si>
  <si>
    <t xml:space="preserve">THYADI TARUN </t>
  </si>
  <si>
    <t>YUDHISTIR MANDAL</t>
  </si>
  <si>
    <t>VI-365</t>
  </si>
  <si>
    <t>SAMIR KUMAR SAHOO</t>
  </si>
  <si>
    <t>SOUMYARANJAN ROUT</t>
  </si>
  <si>
    <t>BISWAJIT SEN</t>
  </si>
  <si>
    <t>ANIL PARIDA</t>
  </si>
  <si>
    <t>TUSHAR KUMAR SAHOO</t>
  </si>
  <si>
    <t>SUPRIYA SEPHALI SAMAL</t>
  </si>
  <si>
    <t>RAJIB KUMAR DALAI</t>
  </si>
  <si>
    <t>TOTAL</t>
  </si>
  <si>
    <t>Emp. Code</t>
  </si>
  <si>
    <t>Total Days</t>
  </si>
  <si>
    <t>Basic Salary</t>
  </si>
  <si>
    <t>H.R.A. Amt.</t>
  </si>
  <si>
    <t>Conv. Amt.</t>
  </si>
  <si>
    <t>Spcl. Alw.</t>
  </si>
  <si>
    <t>Total Amt.</t>
  </si>
  <si>
    <t>PF</t>
  </si>
  <si>
    <t>ESI</t>
  </si>
  <si>
    <t>Deductions</t>
  </si>
  <si>
    <t>Net Payable</t>
  </si>
  <si>
    <t>EARNED LEAVE  after APR'26</t>
  </si>
  <si>
    <t>CASUAL LEAVE after APR'26</t>
  </si>
  <si>
    <t>STIPEND</t>
  </si>
  <si>
    <t>Total Payable</t>
  </si>
  <si>
    <t>ADV.</t>
  </si>
  <si>
    <t>ANARASI ALISHA PATRO</t>
  </si>
  <si>
    <t>AMIT SEKHAR BEHERA</t>
  </si>
  <si>
    <t>AKANKSHYA PATTANAIK</t>
  </si>
  <si>
    <t>JINATAMANA SAHU</t>
  </si>
  <si>
    <t>SUCHISMITA MOHANTY</t>
  </si>
  <si>
    <t>DEBASISH PANDA</t>
  </si>
  <si>
    <t>LIZARANI DALABEHERA</t>
  </si>
  <si>
    <t xml:space="preserve">SUBHAM PATRA </t>
  </si>
  <si>
    <t>RANAJIT JENA</t>
  </si>
  <si>
    <t>DEEPAK MAHANKUDA</t>
  </si>
  <si>
    <t>PRITI LATA BARIK</t>
  </si>
  <si>
    <t>RAHUL KUMAR SAHA</t>
  </si>
  <si>
    <t>HIMANSHU PRADHAN</t>
  </si>
  <si>
    <t>ANANYA AKANTIKA PANIGRAHI</t>
  </si>
  <si>
    <t>SWAGATIKA PANDA</t>
  </si>
  <si>
    <t>PRIYANKA ROUT RAY</t>
  </si>
  <si>
    <t>P. SWATI ACHARY</t>
  </si>
  <si>
    <t>PRIYARANAN NAYAK</t>
  </si>
  <si>
    <t>BITHIKA TUNG</t>
  </si>
  <si>
    <t>PRANJNYA PARIMITA PRADHAN</t>
  </si>
  <si>
    <t>SURYAKANT ROUT</t>
  </si>
  <si>
    <t>CHITTARANJAN SETHY</t>
  </si>
  <si>
    <t>KALPATARU DAS</t>
  </si>
  <si>
    <t>AMAN KUMAR SHARMA</t>
  </si>
  <si>
    <t>SAGAR BEHERA</t>
  </si>
  <si>
    <t>ESPITA JENA</t>
  </si>
  <si>
    <t>PUSPITA BEHERA</t>
  </si>
  <si>
    <t>SATYAM SAI GHADAI</t>
  </si>
  <si>
    <t>AISHWARIYA SAHU</t>
  </si>
  <si>
    <t>JASHABANTA BEHERA</t>
  </si>
  <si>
    <t>SAMUEL JAIN</t>
  </si>
  <si>
    <t>DEEPAK KUMAR DALAI</t>
  </si>
  <si>
    <t>ABHISEK BARIK</t>
  </si>
  <si>
    <t>SMRITI KUMARI</t>
  </si>
  <si>
    <t>SUBHASRI MAHARANA</t>
  </si>
  <si>
    <t>TRUPTIMAYEE PATTNAYAK</t>
  </si>
  <si>
    <t>SAI RANJAN SAHOO</t>
  </si>
  <si>
    <t>BIKRAM PARIDA</t>
  </si>
  <si>
    <t>SUBHASMITA NAYAK</t>
  </si>
  <si>
    <t>RITESH ROUTRAY</t>
  </si>
  <si>
    <t>KHITISH RANJAN ROUTRAY</t>
  </si>
  <si>
    <t>ARUN KUMAR PATRA</t>
  </si>
  <si>
    <t>PRANAB PRASAD</t>
  </si>
  <si>
    <t>SUBHAM NAYAK</t>
  </si>
  <si>
    <t>RASHMITA MAJHI</t>
  </si>
  <si>
    <t>AYUSHRAJ CHOUDHURY</t>
  </si>
  <si>
    <t>ANKUR RAJ</t>
  </si>
  <si>
    <t>SRISTU SAI KESAV</t>
  </si>
  <si>
    <t>ROHIT KUMAR SUBUDHI</t>
  </si>
  <si>
    <t>MUTTA DOLLY</t>
  </si>
  <si>
    <t>-</t>
  </si>
  <si>
    <t>SL No</t>
  </si>
  <si>
    <t>TOT. Ded.</t>
  </si>
  <si>
    <t>Net  Payable</t>
  </si>
  <si>
    <t>)</t>
  </si>
  <si>
    <t>LAXMIPRIYA PRADHAN</t>
  </si>
  <si>
    <t>Resigned on April</t>
  </si>
  <si>
    <t>Resigned on May</t>
  </si>
  <si>
    <t xml:space="preserve">Resigned on May </t>
  </si>
  <si>
    <t>EARNED LEAVE  after APRIL'26</t>
  </si>
  <si>
    <t>CASUAL LEAVE after APRIL'26</t>
  </si>
  <si>
    <t>Resigned on March and notice period end on April</t>
  </si>
  <si>
    <t>Vyze Software Solutions Pvt Ltd</t>
  </si>
  <si>
    <t>Salary For The Month Of April 2026</t>
  </si>
  <si>
    <t>Adventa Tech Software Solutions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</si>
</sst>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2">
    <xf numFmtId="0" fontId="0" fillId="0" borderId="0" xfId="0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/>
    <xf numFmtId="0" fontId="4" fillId="0" borderId="1" xfId="0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164" fontId="5" fillId="0" borderId="1" xfId="0" applyNumberFormat="1" applyFont="1" applyFill="1" applyBorder="1" applyAlignment="1">
      <alignment horizontal="center"/>
    </xf>
    <xf numFmtId="0" fontId="7" fillId="0" borderId="1" xfId="1" applyFont="1" applyFill="1" applyBorder="1" applyAlignment="1">
      <alignment vertical="center"/>
    </xf>
    <xf numFmtId="0" fontId="7" fillId="0" borderId="1" xfId="1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top"/>
    </xf>
    <xf numFmtId="0" fontId="7" fillId="0" borderId="1" xfId="1" applyFont="1" applyFill="1" applyBorder="1" applyAlignment="1"/>
    <xf numFmtId="0" fontId="7" fillId="0" borderId="1" xfId="1" applyNumberFormat="1" applyFont="1" applyFill="1" applyBorder="1" applyAlignment="1"/>
    <xf numFmtId="0" fontId="4" fillId="0" borderId="3" xfId="0" applyFont="1" applyFill="1" applyBorder="1" applyAlignment="1">
      <alignment horizontal="center"/>
    </xf>
    <xf numFmtId="0" fontId="7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top"/>
    </xf>
    <xf numFmtId="1" fontId="9" fillId="0" borderId="2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/>
    </xf>
    <xf numFmtId="164" fontId="10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/>
    <xf numFmtId="0" fontId="9" fillId="0" borderId="1" xfId="1" applyFont="1" applyFill="1" applyBorder="1" applyAlignment="1"/>
    <xf numFmtId="0" fontId="9" fillId="0" borderId="1" xfId="1" applyNumberFormat="1" applyFont="1" applyFill="1" applyBorder="1" applyAlignment="1"/>
    <xf numFmtId="0" fontId="10" fillId="0" borderId="1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left"/>
    </xf>
    <xf numFmtId="0" fontId="7" fillId="0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/>
    </xf>
    <xf numFmtId="1" fontId="5" fillId="0" borderId="5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12" fillId="0" borderId="1" xfId="0" applyFont="1" applyBorder="1"/>
    <xf numFmtId="0" fontId="3" fillId="5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4" fillId="3" borderId="1" xfId="0" applyFont="1" applyFill="1" applyBorder="1" applyAlignment="1"/>
    <xf numFmtId="0" fontId="5" fillId="3" borderId="1" xfId="0" applyFont="1" applyFill="1" applyBorder="1" applyAlignment="1">
      <alignment horizontal="left"/>
    </xf>
    <xf numFmtId="0" fontId="0" fillId="3" borderId="1" xfId="0" applyFill="1" applyBorder="1"/>
    <xf numFmtId="0" fontId="3" fillId="3" borderId="1" xfId="0" applyFont="1" applyFill="1" applyBorder="1"/>
    <xf numFmtId="164" fontId="0" fillId="3" borderId="1" xfId="0" applyNumberFormat="1" applyFill="1" applyBorder="1" applyAlignment="1">
      <alignment horizontal="center"/>
    </xf>
    <xf numFmtId="0" fontId="7" fillId="3" borderId="1" xfId="1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1" xfId="1" applyFont="1" applyFill="1" applyBorder="1" applyAlignment="1"/>
    <xf numFmtId="0" fontId="7" fillId="3" borderId="1" xfId="1" applyNumberFormat="1" applyFont="1" applyFill="1" applyBorder="1" applyAlignment="1"/>
    <xf numFmtId="0" fontId="0" fillId="3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" vertical="top"/>
    </xf>
    <xf numFmtId="1" fontId="5" fillId="0" borderId="1" xfId="0" applyNumberFormat="1" applyFont="1" applyFill="1" applyBorder="1" applyAlignment="1">
      <alignment horizontal="center"/>
    </xf>
    <xf numFmtId="1" fontId="5" fillId="0" borderId="6" xfId="0" applyNumberFormat="1" applyFont="1" applyFill="1" applyBorder="1" applyAlignment="1">
      <alignment horizontal="center"/>
    </xf>
    <xf numFmtId="0" fontId="2" fillId="0" borderId="0" xfId="0" applyFont="1"/>
    <xf numFmtId="0" fontId="14" fillId="0" borderId="0" xfId="0" applyFont="1" applyAlignment="1"/>
    <xf numFmtId="0" fontId="5" fillId="0" borderId="7" xfId="0" applyFont="1" applyBorder="1" applyAlignment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shrinkToFit="1"/>
    </xf>
    <xf numFmtId="0" fontId="6" fillId="5" borderId="4" xfId="0" applyFont="1" applyFill="1" applyBorder="1" applyAlignment="1">
      <alignment horizontal="center" vertical="center" shrinkToFit="1"/>
    </xf>
    <xf numFmtId="1" fontId="5" fillId="5" borderId="3" xfId="0" applyNumberFormat="1" applyFont="1" applyFill="1" applyBorder="1" applyAlignment="1">
      <alignment horizontal="center" vertical="center"/>
    </xf>
    <xf numFmtId="1" fontId="5" fillId="5" borderId="4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13" fillId="4" borderId="3" xfId="0" applyNumberFormat="1" applyFont="1" applyFill="1" applyBorder="1" applyAlignment="1">
      <alignment horizontal="center" wrapText="1"/>
    </xf>
    <xf numFmtId="164" fontId="13" fillId="4" borderId="4" xfId="0" applyNumberFormat="1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13" fillId="4" borderId="1" xfId="0" applyNumberFormat="1" applyFont="1" applyFill="1" applyBorder="1" applyAlignment="1">
      <alignment horizont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opLeftCell="C1" workbookViewId="0">
      <selection activeCell="M13" sqref="M13"/>
    </sheetView>
  </sheetViews>
  <sheetFormatPr defaultRowHeight="14.5" x14ac:dyDescent="0.35"/>
  <cols>
    <col min="1" max="1" width="3.81640625" bestFit="1" customWidth="1"/>
    <col min="2" max="2" width="8.6328125" bestFit="1" customWidth="1"/>
    <col min="3" max="3" width="10.54296875" bestFit="1" customWidth="1"/>
    <col min="4" max="4" width="29.81640625" bestFit="1" customWidth="1"/>
    <col min="5" max="5" width="10.26953125" bestFit="1" customWidth="1"/>
    <col min="6" max="6" width="11.453125" bestFit="1" customWidth="1"/>
    <col min="7" max="7" width="11.36328125" bestFit="1" customWidth="1"/>
    <col min="8" max="8" width="12.54296875" bestFit="1" customWidth="1"/>
    <col min="9" max="9" width="11.453125" bestFit="1" customWidth="1"/>
    <col min="10" max="10" width="10.36328125" bestFit="1" customWidth="1"/>
    <col min="11" max="11" width="7.453125" customWidth="1"/>
    <col min="12" max="12" width="7.26953125" customWidth="1"/>
    <col min="13" max="13" width="10.81640625" bestFit="1" customWidth="1"/>
  </cols>
  <sheetData>
    <row r="1" spans="1:15" ht="21" x14ac:dyDescent="0.5">
      <c r="C1" s="67" t="s">
        <v>132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5" ht="15.5" x14ac:dyDescent="0.35">
      <c r="C2" s="68" t="s">
        <v>133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 spans="1:15" x14ac:dyDescent="0.35">
      <c r="A3" s="69" t="s">
        <v>0</v>
      </c>
      <c r="B3" s="73" t="s">
        <v>1</v>
      </c>
      <c r="C3" s="69" t="s">
        <v>54</v>
      </c>
      <c r="D3" s="69" t="s">
        <v>2</v>
      </c>
      <c r="E3" s="69" t="s">
        <v>55</v>
      </c>
      <c r="F3" s="69" t="s">
        <v>56</v>
      </c>
      <c r="G3" s="69" t="s">
        <v>57</v>
      </c>
      <c r="H3" s="71" t="s">
        <v>58</v>
      </c>
      <c r="I3" s="71" t="s">
        <v>59</v>
      </c>
      <c r="J3" s="69" t="s">
        <v>60</v>
      </c>
      <c r="K3" s="78" t="s">
        <v>63</v>
      </c>
      <c r="L3" s="78"/>
      <c r="M3" s="75" t="s">
        <v>64</v>
      </c>
      <c r="N3" s="76" t="s">
        <v>65</v>
      </c>
      <c r="O3" s="76" t="s">
        <v>66</v>
      </c>
    </row>
    <row r="4" spans="1:15" ht="25" customHeight="1" x14ac:dyDescent="0.35">
      <c r="A4" s="70"/>
      <c r="B4" s="74"/>
      <c r="C4" s="70"/>
      <c r="D4" s="70"/>
      <c r="E4" s="70"/>
      <c r="F4" s="70"/>
      <c r="G4" s="70"/>
      <c r="H4" s="72"/>
      <c r="I4" s="72"/>
      <c r="J4" s="70"/>
      <c r="K4" s="39" t="s">
        <v>61</v>
      </c>
      <c r="L4" s="39" t="s">
        <v>62</v>
      </c>
      <c r="M4" s="75"/>
      <c r="N4" s="77"/>
      <c r="O4" s="77"/>
    </row>
    <row r="5" spans="1:15" ht="15.5" x14ac:dyDescent="0.35">
      <c r="A5" s="5">
        <v>1</v>
      </c>
      <c r="B5" s="6" t="s">
        <v>3</v>
      </c>
      <c r="C5" s="1">
        <v>733</v>
      </c>
      <c r="D5" s="33" t="s">
        <v>4</v>
      </c>
      <c r="E5" s="8">
        <v>30</v>
      </c>
      <c r="F5" s="7">
        <v>23500</v>
      </c>
      <c r="G5" s="9">
        <v>18800</v>
      </c>
      <c r="H5" s="10">
        <v>4700</v>
      </c>
      <c r="I5" s="10">
        <v>0</v>
      </c>
      <c r="J5" s="3">
        <v>47000</v>
      </c>
      <c r="K5" s="35">
        <v>1800</v>
      </c>
      <c r="L5" s="35">
        <v>0</v>
      </c>
      <c r="M5" s="36">
        <f>J5-K5-L5</f>
        <v>45200</v>
      </c>
      <c r="N5" s="40">
        <v>33.5</v>
      </c>
      <c r="O5" s="40">
        <v>0</v>
      </c>
    </row>
    <row r="6" spans="1:15" ht="15.5" x14ac:dyDescent="0.35">
      <c r="A6" s="5">
        <v>2</v>
      </c>
      <c r="B6" s="6" t="s">
        <v>3</v>
      </c>
      <c r="C6" s="1">
        <v>727</v>
      </c>
      <c r="D6" s="33" t="s">
        <v>5</v>
      </c>
      <c r="E6" s="8">
        <v>30</v>
      </c>
      <c r="F6" s="7">
        <v>19000</v>
      </c>
      <c r="G6" s="7">
        <v>15200</v>
      </c>
      <c r="H6" s="7">
        <v>3800</v>
      </c>
      <c r="I6" s="10">
        <v>0</v>
      </c>
      <c r="J6" s="3">
        <v>38000</v>
      </c>
      <c r="K6" s="35">
        <v>1800</v>
      </c>
      <c r="L6" s="35">
        <v>0</v>
      </c>
      <c r="M6" s="36">
        <f t="shared" ref="M6:M46" si="0">J6-K6-L6</f>
        <v>36200</v>
      </c>
      <c r="N6" s="40">
        <v>12</v>
      </c>
      <c r="O6" s="40">
        <v>1</v>
      </c>
    </row>
    <row r="7" spans="1:15" ht="15.5" x14ac:dyDescent="0.35">
      <c r="A7" s="5">
        <v>3</v>
      </c>
      <c r="B7" s="6" t="s">
        <v>3</v>
      </c>
      <c r="C7" s="1">
        <v>700</v>
      </c>
      <c r="D7" s="11" t="s">
        <v>6</v>
      </c>
      <c r="E7" s="8">
        <v>30</v>
      </c>
      <c r="F7" s="7">
        <v>25000</v>
      </c>
      <c r="G7" s="7">
        <v>20000</v>
      </c>
      <c r="H7" s="7">
        <v>5000</v>
      </c>
      <c r="I7" s="7">
        <v>0</v>
      </c>
      <c r="J7" s="3">
        <v>50000</v>
      </c>
      <c r="K7" s="35">
        <v>1800</v>
      </c>
      <c r="L7" s="35">
        <v>0</v>
      </c>
      <c r="M7" s="36">
        <f t="shared" si="0"/>
        <v>48200</v>
      </c>
      <c r="N7" s="40">
        <v>14.5</v>
      </c>
      <c r="O7" s="40">
        <v>0</v>
      </c>
    </row>
    <row r="8" spans="1:15" ht="15.5" x14ac:dyDescent="0.35">
      <c r="A8" s="43">
        <v>4</v>
      </c>
      <c r="B8" s="44" t="s">
        <v>3</v>
      </c>
      <c r="C8" s="45" t="s">
        <v>8</v>
      </c>
      <c r="D8" s="46" t="s">
        <v>7</v>
      </c>
      <c r="E8" s="12">
        <v>30</v>
      </c>
      <c r="F8" s="47">
        <v>40000</v>
      </c>
      <c r="G8" s="47">
        <v>32000</v>
      </c>
      <c r="H8" s="47">
        <v>8000</v>
      </c>
      <c r="I8" s="47">
        <v>0</v>
      </c>
      <c r="J8" s="48">
        <v>80000</v>
      </c>
      <c r="K8" s="49">
        <v>1800</v>
      </c>
      <c r="L8" s="49">
        <v>0</v>
      </c>
      <c r="M8" s="50">
        <f t="shared" si="0"/>
        <v>78200</v>
      </c>
      <c r="N8" s="51"/>
      <c r="O8" s="51"/>
    </row>
    <row r="9" spans="1:15" ht="15.5" x14ac:dyDescent="0.35">
      <c r="A9" s="43">
        <v>5</v>
      </c>
      <c r="B9" s="44" t="s">
        <v>3</v>
      </c>
      <c r="C9" s="45" t="s">
        <v>10</v>
      </c>
      <c r="D9" s="46" t="s">
        <v>9</v>
      </c>
      <c r="E9" s="12">
        <v>30</v>
      </c>
      <c r="F9" s="47">
        <v>25000</v>
      </c>
      <c r="G9" s="47">
        <v>20000</v>
      </c>
      <c r="H9" s="47">
        <v>5000</v>
      </c>
      <c r="I9" s="52">
        <v>0</v>
      </c>
      <c r="J9" s="48">
        <v>50000</v>
      </c>
      <c r="K9" s="49">
        <v>1800</v>
      </c>
      <c r="L9" s="49">
        <v>0</v>
      </c>
      <c r="M9" s="50">
        <f t="shared" si="0"/>
        <v>48200</v>
      </c>
      <c r="N9" s="51"/>
      <c r="O9" s="51"/>
    </row>
    <row r="10" spans="1:15" ht="15.5" x14ac:dyDescent="0.35">
      <c r="A10" s="5">
        <v>6</v>
      </c>
      <c r="B10" s="6" t="s">
        <v>3</v>
      </c>
      <c r="C10" s="1">
        <v>1001</v>
      </c>
      <c r="D10" s="17" t="s">
        <v>11</v>
      </c>
      <c r="E10" s="8">
        <v>30</v>
      </c>
      <c r="F10" s="7">
        <v>16000</v>
      </c>
      <c r="G10" s="9">
        <v>12800</v>
      </c>
      <c r="H10" s="10">
        <v>3200</v>
      </c>
      <c r="I10" s="10">
        <v>0</v>
      </c>
      <c r="J10" s="3">
        <v>32000</v>
      </c>
      <c r="K10" s="35">
        <v>1800</v>
      </c>
      <c r="L10" s="35">
        <v>0</v>
      </c>
      <c r="M10" s="36">
        <f t="shared" si="0"/>
        <v>30200</v>
      </c>
      <c r="N10" s="40">
        <v>33</v>
      </c>
      <c r="O10" s="40">
        <v>0</v>
      </c>
    </row>
    <row r="11" spans="1:15" ht="15.5" x14ac:dyDescent="0.35">
      <c r="A11" s="5">
        <v>7</v>
      </c>
      <c r="B11" s="6" t="s">
        <v>3</v>
      </c>
      <c r="C11" s="1">
        <v>638</v>
      </c>
      <c r="D11" s="17" t="s">
        <v>12</v>
      </c>
      <c r="E11" s="8">
        <v>30</v>
      </c>
      <c r="F11" s="7">
        <v>15000</v>
      </c>
      <c r="G11" s="9">
        <v>12000</v>
      </c>
      <c r="H11" s="10">
        <v>3000</v>
      </c>
      <c r="I11" s="10">
        <v>0</v>
      </c>
      <c r="J11" s="3">
        <v>30000</v>
      </c>
      <c r="K11" s="35">
        <v>1800</v>
      </c>
      <c r="L11" s="35">
        <v>0</v>
      </c>
      <c r="M11" s="36">
        <f t="shared" si="0"/>
        <v>28200</v>
      </c>
      <c r="N11" s="40">
        <v>8</v>
      </c>
      <c r="O11" s="40">
        <v>1</v>
      </c>
    </row>
    <row r="12" spans="1:15" ht="15.5" x14ac:dyDescent="0.35">
      <c r="A12" s="5">
        <v>8</v>
      </c>
      <c r="B12" s="6" t="s">
        <v>3</v>
      </c>
      <c r="C12" s="1">
        <v>636</v>
      </c>
      <c r="D12" s="17" t="s">
        <v>13</v>
      </c>
      <c r="E12" s="8">
        <v>30</v>
      </c>
      <c r="F12" s="7">
        <v>15000</v>
      </c>
      <c r="G12" s="9">
        <v>12000</v>
      </c>
      <c r="H12" s="10">
        <v>3000</v>
      </c>
      <c r="I12" s="10">
        <v>0</v>
      </c>
      <c r="J12" s="3">
        <v>30000</v>
      </c>
      <c r="K12" s="35">
        <v>1800</v>
      </c>
      <c r="L12" s="35">
        <v>0</v>
      </c>
      <c r="M12" s="36">
        <f t="shared" si="0"/>
        <v>28200</v>
      </c>
      <c r="N12" s="40">
        <v>12</v>
      </c>
      <c r="O12" s="40">
        <v>0</v>
      </c>
    </row>
    <row r="13" spans="1:15" ht="15.5" x14ac:dyDescent="0.35">
      <c r="A13" s="5">
        <v>9</v>
      </c>
      <c r="B13" s="6" t="s">
        <v>3</v>
      </c>
      <c r="C13" s="1">
        <v>637</v>
      </c>
      <c r="D13" s="17" t="s">
        <v>14</v>
      </c>
      <c r="E13" s="8">
        <v>30</v>
      </c>
      <c r="F13" s="7">
        <v>17500</v>
      </c>
      <c r="G13" s="14">
        <v>14000</v>
      </c>
      <c r="H13" s="15">
        <v>3500</v>
      </c>
      <c r="I13" s="10">
        <v>0</v>
      </c>
      <c r="J13" s="3">
        <v>35000</v>
      </c>
      <c r="K13" s="35">
        <v>1800</v>
      </c>
      <c r="L13" s="35">
        <v>0</v>
      </c>
      <c r="M13" s="36">
        <f t="shared" si="0"/>
        <v>33200</v>
      </c>
      <c r="N13" s="40">
        <v>0</v>
      </c>
      <c r="O13" s="40">
        <v>0.5</v>
      </c>
    </row>
    <row r="14" spans="1:15" ht="15.5" x14ac:dyDescent="0.35">
      <c r="A14" s="5">
        <v>10</v>
      </c>
      <c r="B14" s="6" t="s">
        <v>3</v>
      </c>
      <c r="C14" s="1">
        <v>629</v>
      </c>
      <c r="D14" s="17" t="s">
        <v>15</v>
      </c>
      <c r="E14" s="8">
        <v>29.5</v>
      </c>
      <c r="F14" s="7">
        <v>20000</v>
      </c>
      <c r="G14" s="14">
        <v>16000</v>
      </c>
      <c r="H14" s="15">
        <v>4000</v>
      </c>
      <c r="I14" s="10">
        <v>0</v>
      </c>
      <c r="J14" s="3">
        <v>40000</v>
      </c>
      <c r="K14" s="35">
        <v>1770</v>
      </c>
      <c r="L14" s="35">
        <v>0</v>
      </c>
      <c r="M14" s="36">
        <f t="shared" si="0"/>
        <v>38230</v>
      </c>
      <c r="N14" s="40">
        <v>0</v>
      </c>
      <c r="O14" s="40">
        <v>0</v>
      </c>
    </row>
    <row r="15" spans="1:15" ht="15.5" x14ac:dyDescent="0.35">
      <c r="A15" s="5">
        <v>11</v>
      </c>
      <c r="B15" s="6" t="s">
        <v>3</v>
      </c>
      <c r="C15" s="16">
        <v>631</v>
      </c>
      <c r="D15" s="17" t="s">
        <v>16</v>
      </c>
      <c r="E15" s="8">
        <v>30</v>
      </c>
      <c r="F15" s="7">
        <v>15000</v>
      </c>
      <c r="G15" s="9">
        <v>12000</v>
      </c>
      <c r="H15" s="10">
        <v>3000</v>
      </c>
      <c r="I15" s="10">
        <v>0</v>
      </c>
      <c r="J15" s="3">
        <v>30000</v>
      </c>
      <c r="K15" s="35">
        <v>1800</v>
      </c>
      <c r="L15" s="35">
        <v>0</v>
      </c>
      <c r="M15" s="36">
        <f t="shared" si="0"/>
        <v>28200</v>
      </c>
      <c r="N15" s="40">
        <v>20</v>
      </c>
      <c r="O15" s="40">
        <v>0</v>
      </c>
    </row>
    <row r="16" spans="1:15" ht="15.5" x14ac:dyDescent="0.35">
      <c r="A16" s="5">
        <v>12</v>
      </c>
      <c r="B16" s="6" t="s">
        <v>3</v>
      </c>
      <c r="C16" s="1">
        <v>602</v>
      </c>
      <c r="D16" s="17" t="s">
        <v>17</v>
      </c>
      <c r="E16" s="8">
        <v>29.5</v>
      </c>
      <c r="F16" s="7">
        <v>16250</v>
      </c>
      <c r="G16" s="9">
        <v>13000</v>
      </c>
      <c r="H16" s="10">
        <v>3250</v>
      </c>
      <c r="I16" s="15">
        <v>0</v>
      </c>
      <c r="J16" s="3">
        <v>32500</v>
      </c>
      <c r="K16" s="35">
        <v>1770</v>
      </c>
      <c r="L16" s="35">
        <v>0</v>
      </c>
      <c r="M16" s="36">
        <f t="shared" si="0"/>
        <v>30730</v>
      </c>
      <c r="N16" s="40">
        <v>0</v>
      </c>
      <c r="O16" s="40">
        <v>0</v>
      </c>
    </row>
    <row r="17" spans="1:15" ht="15.5" x14ac:dyDescent="0.35">
      <c r="A17" s="5">
        <v>13</v>
      </c>
      <c r="B17" s="6" t="s">
        <v>3</v>
      </c>
      <c r="C17" s="1">
        <v>603</v>
      </c>
      <c r="D17" s="17" t="s">
        <v>18</v>
      </c>
      <c r="E17" s="8">
        <v>23.5</v>
      </c>
      <c r="F17" s="7">
        <v>17500</v>
      </c>
      <c r="G17" s="9">
        <v>14000</v>
      </c>
      <c r="H17" s="10">
        <v>3500</v>
      </c>
      <c r="I17" s="15">
        <v>0</v>
      </c>
      <c r="J17" s="3">
        <v>35000</v>
      </c>
      <c r="K17" s="35">
        <v>1410</v>
      </c>
      <c r="L17" s="35">
        <v>0</v>
      </c>
      <c r="M17" s="36">
        <f t="shared" si="0"/>
        <v>33590</v>
      </c>
      <c r="N17" s="40">
        <v>0</v>
      </c>
      <c r="O17" s="40">
        <v>0</v>
      </c>
    </row>
    <row r="18" spans="1:15" ht="15.5" x14ac:dyDescent="0.35">
      <c r="A18" s="5">
        <v>14</v>
      </c>
      <c r="B18" s="6" t="s">
        <v>3</v>
      </c>
      <c r="C18" s="1">
        <v>604</v>
      </c>
      <c r="D18" s="17" t="s">
        <v>19</v>
      </c>
      <c r="E18" s="8">
        <v>30</v>
      </c>
      <c r="F18" s="7">
        <v>16000</v>
      </c>
      <c r="G18" s="14">
        <v>12800</v>
      </c>
      <c r="H18" s="15">
        <v>3200</v>
      </c>
      <c r="I18" s="15">
        <v>0</v>
      </c>
      <c r="J18" s="3">
        <v>32000</v>
      </c>
      <c r="K18" s="35">
        <v>1800</v>
      </c>
      <c r="L18" s="35">
        <v>0</v>
      </c>
      <c r="M18" s="36">
        <f t="shared" si="0"/>
        <v>30200</v>
      </c>
      <c r="N18" s="40">
        <v>31</v>
      </c>
      <c r="O18" s="40">
        <v>1</v>
      </c>
    </row>
    <row r="19" spans="1:15" ht="15.5" x14ac:dyDescent="0.35">
      <c r="A19" s="5">
        <v>15</v>
      </c>
      <c r="B19" s="6" t="s">
        <v>3</v>
      </c>
      <c r="C19" s="1">
        <v>579</v>
      </c>
      <c r="D19" s="17" t="s">
        <v>20</v>
      </c>
      <c r="E19" s="8">
        <v>30</v>
      </c>
      <c r="F19" s="7">
        <v>16000</v>
      </c>
      <c r="G19" s="14">
        <v>12800</v>
      </c>
      <c r="H19" s="15">
        <v>3200</v>
      </c>
      <c r="I19" s="15">
        <v>0</v>
      </c>
      <c r="J19" s="3">
        <v>32000</v>
      </c>
      <c r="K19" s="35">
        <v>1800</v>
      </c>
      <c r="L19" s="35">
        <v>0</v>
      </c>
      <c r="M19" s="36">
        <f t="shared" si="0"/>
        <v>30200</v>
      </c>
      <c r="N19" s="40">
        <v>20.5</v>
      </c>
      <c r="O19" s="40">
        <v>0</v>
      </c>
    </row>
    <row r="20" spans="1:15" ht="15.5" x14ac:dyDescent="0.35">
      <c r="A20" s="5">
        <v>16</v>
      </c>
      <c r="B20" s="6" t="s">
        <v>3</v>
      </c>
      <c r="C20" s="1">
        <v>580</v>
      </c>
      <c r="D20" s="17" t="s">
        <v>21</v>
      </c>
      <c r="E20" s="8">
        <v>30</v>
      </c>
      <c r="F20" s="7">
        <v>23500</v>
      </c>
      <c r="G20" s="14">
        <v>18800</v>
      </c>
      <c r="H20" s="15">
        <v>4700</v>
      </c>
      <c r="I20" s="15">
        <v>0</v>
      </c>
      <c r="J20" s="3">
        <v>47000</v>
      </c>
      <c r="K20" s="35">
        <v>1800</v>
      </c>
      <c r="L20" s="35">
        <v>0</v>
      </c>
      <c r="M20" s="36">
        <f t="shared" si="0"/>
        <v>45200</v>
      </c>
      <c r="N20" s="40">
        <v>6</v>
      </c>
      <c r="O20" s="40">
        <v>0</v>
      </c>
    </row>
    <row r="21" spans="1:15" ht="15.5" x14ac:dyDescent="0.35">
      <c r="A21" s="5">
        <v>17</v>
      </c>
      <c r="B21" s="6" t="s">
        <v>3</v>
      </c>
      <c r="C21" s="1">
        <v>547</v>
      </c>
      <c r="D21" s="17" t="s">
        <v>22</v>
      </c>
      <c r="E21" s="8">
        <v>30</v>
      </c>
      <c r="F21" s="7">
        <v>13580</v>
      </c>
      <c r="G21" s="14">
        <v>10000</v>
      </c>
      <c r="H21" s="15">
        <v>1420</v>
      </c>
      <c r="I21" s="15">
        <v>0</v>
      </c>
      <c r="J21" s="3">
        <v>25000</v>
      </c>
      <c r="K21" s="35">
        <v>1630</v>
      </c>
      <c r="L21" s="35">
        <v>0</v>
      </c>
      <c r="M21" s="36">
        <f t="shared" si="0"/>
        <v>23370</v>
      </c>
      <c r="N21" s="40">
        <v>16</v>
      </c>
      <c r="O21" s="40">
        <v>0</v>
      </c>
    </row>
    <row r="22" spans="1:15" ht="15.5" x14ac:dyDescent="0.35">
      <c r="A22" s="43">
        <v>18</v>
      </c>
      <c r="B22" s="44" t="s">
        <v>3</v>
      </c>
      <c r="C22" s="45" t="s">
        <v>24</v>
      </c>
      <c r="D22" s="53" t="s">
        <v>23</v>
      </c>
      <c r="E22" s="12">
        <v>30</v>
      </c>
      <c r="F22" s="47">
        <v>30000</v>
      </c>
      <c r="G22" s="54">
        <v>24000</v>
      </c>
      <c r="H22" s="55">
        <v>6000</v>
      </c>
      <c r="I22" s="55">
        <v>0</v>
      </c>
      <c r="J22" s="48">
        <v>60000</v>
      </c>
      <c r="K22" s="49">
        <v>0</v>
      </c>
      <c r="L22" s="49">
        <v>0</v>
      </c>
      <c r="M22" s="50">
        <f t="shared" si="0"/>
        <v>60000</v>
      </c>
      <c r="N22" s="56"/>
      <c r="O22" s="56"/>
    </row>
    <row r="23" spans="1:15" ht="15.5" x14ac:dyDescent="0.35">
      <c r="A23" s="43">
        <v>19</v>
      </c>
      <c r="B23" s="44" t="s">
        <v>3</v>
      </c>
      <c r="C23" s="45" t="s">
        <v>26</v>
      </c>
      <c r="D23" s="53" t="s">
        <v>25</v>
      </c>
      <c r="E23" s="12">
        <v>30</v>
      </c>
      <c r="F23" s="47">
        <v>35000</v>
      </c>
      <c r="G23" s="54">
        <v>28000</v>
      </c>
      <c r="H23" s="55">
        <v>7000</v>
      </c>
      <c r="I23" s="55">
        <v>0</v>
      </c>
      <c r="J23" s="48">
        <v>70000</v>
      </c>
      <c r="K23" s="49">
        <v>0</v>
      </c>
      <c r="L23" s="49">
        <v>0</v>
      </c>
      <c r="M23" s="50">
        <f t="shared" si="0"/>
        <v>70000</v>
      </c>
      <c r="N23" s="51"/>
      <c r="O23" s="51"/>
    </row>
    <row r="24" spans="1:15" ht="15.5" x14ac:dyDescent="0.35">
      <c r="A24" s="5">
        <v>20</v>
      </c>
      <c r="B24" s="6" t="s">
        <v>3</v>
      </c>
      <c r="C24" s="1" t="s">
        <v>28</v>
      </c>
      <c r="D24" s="17" t="s">
        <v>27</v>
      </c>
      <c r="E24" s="8">
        <v>30</v>
      </c>
      <c r="F24" s="7">
        <v>13580</v>
      </c>
      <c r="G24" s="14">
        <v>5420</v>
      </c>
      <c r="H24" s="15">
        <v>0</v>
      </c>
      <c r="I24" s="15">
        <v>0</v>
      </c>
      <c r="J24" s="3">
        <v>19000</v>
      </c>
      <c r="K24" s="35">
        <v>1630</v>
      </c>
      <c r="L24" s="35">
        <v>143</v>
      </c>
      <c r="M24" s="36">
        <f t="shared" si="0"/>
        <v>17227</v>
      </c>
      <c r="N24" s="40">
        <v>15</v>
      </c>
      <c r="O24" s="40">
        <v>0</v>
      </c>
    </row>
    <row r="25" spans="1:15" ht="15.5" x14ac:dyDescent="0.35">
      <c r="A25" s="5">
        <v>21</v>
      </c>
      <c r="B25" s="6" t="s">
        <v>3</v>
      </c>
      <c r="C25" s="1">
        <v>535</v>
      </c>
      <c r="D25" s="17" t="s">
        <v>29</v>
      </c>
      <c r="E25" s="8">
        <v>30</v>
      </c>
      <c r="F25" s="7">
        <v>15000</v>
      </c>
      <c r="G25" s="14">
        <v>12000</v>
      </c>
      <c r="H25" s="15">
        <v>3000</v>
      </c>
      <c r="I25" s="15">
        <v>0</v>
      </c>
      <c r="J25" s="3">
        <v>30000</v>
      </c>
      <c r="K25" s="35">
        <v>1800</v>
      </c>
      <c r="L25" s="35">
        <v>0</v>
      </c>
      <c r="M25" s="36">
        <f t="shared" si="0"/>
        <v>28200</v>
      </c>
      <c r="N25" s="40">
        <v>0</v>
      </c>
      <c r="O25" s="40">
        <v>0</v>
      </c>
    </row>
    <row r="26" spans="1:15" ht="15.5" x14ac:dyDescent="0.35">
      <c r="A26" s="5">
        <v>22</v>
      </c>
      <c r="B26" s="6" t="s">
        <v>3</v>
      </c>
      <c r="C26" s="1">
        <v>533</v>
      </c>
      <c r="D26" s="17" t="s">
        <v>30</v>
      </c>
      <c r="E26" s="8">
        <v>30</v>
      </c>
      <c r="F26" s="7">
        <v>13580</v>
      </c>
      <c r="G26" s="14">
        <v>10800</v>
      </c>
      <c r="H26" s="15">
        <v>2620</v>
      </c>
      <c r="I26" s="15">
        <v>0</v>
      </c>
      <c r="J26" s="3">
        <v>27000</v>
      </c>
      <c r="K26" s="35">
        <v>1630</v>
      </c>
      <c r="L26" s="35">
        <v>0</v>
      </c>
      <c r="M26" s="36">
        <f t="shared" si="0"/>
        <v>25370</v>
      </c>
      <c r="N26" s="40">
        <v>4</v>
      </c>
      <c r="O26" s="40">
        <v>0</v>
      </c>
    </row>
    <row r="27" spans="1:15" ht="15.5" x14ac:dyDescent="0.35">
      <c r="A27" s="5">
        <v>23</v>
      </c>
      <c r="B27" s="6" t="s">
        <v>3</v>
      </c>
      <c r="C27" s="1">
        <v>522</v>
      </c>
      <c r="D27" s="17" t="s">
        <v>31</v>
      </c>
      <c r="E27" s="8">
        <v>30</v>
      </c>
      <c r="F27" s="7">
        <v>15000</v>
      </c>
      <c r="G27" s="14">
        <v>12000</v>
      </c>
      <c r="H27" s="15">
        <v>3000</v>
      </c>
      <c r="I27" s="15">
        <v>0</v>
      </c>
      <c r="J27" s="3">
        <v>30000</v>
      </c>
      <c r="K27" s="35">
        <v>1800</v>
      </c>
      <c r="L27" s="35">
        <v>0</v>
      </c>
      <c r="M27" s="36">
        <f t="shared" si="0"/>
        <v>28200</v>
      </c>
      <c r="N27" s="40">
        <v>20</v>
      </c>
      <c r="O27" s="40">
        <v>1</v>
      </c>
    </row>
    <row r="28" spans="1:15" ht="15.5" x14ac:dyDescent="0.35">
      <c r="A28" s="5">
        <v>24</v>
      </c>
      <c r="B28" s="6" t="s">
        <v>3</v>
      </c>
      <c r="C28" s="1">
        <v>524</v>
      </c>
      <c r="D28" s="17" t="s">
        <v>32</v>
      </c>
      <c r="E28" s="8">
        <v>30</v>
      </c>
      <c r="F28" s="7">
        <v>14000</v>
      </c>
      <c r="G28" s="14">
        <v>11200</v>
      </c>
      <c r="H28" s="15">
        <v>2800</v>
      </c>
      <c r="I28" s="15">
        <v>0</v>
      </c>
      <c r="J28" s="3">
        <v>28000</v>
      </c>
      <c r="K28" s="35">
        <v>1680</v>
      </c>
      <c r="L28" s="35">
        <v>0</v>
      </c>
      <c r="M28" s="36">
        <f t="shared" si="0"/>
        <v>26320</v>
      </c>
      <c r="N28" s="40">
        <v>3</v>
      </c>
      <c r="O28" s="40">
        <v>0.5</v>
      </c>
    </row>
    <row r="29" spans="1:15" ht="15.5" x14ac:dyDescent="0.35">
      <c r="A29" s="5">
        <v>25</v>
      </c>
      <c r="B29" s="6" t="s">
        <v>3</v>
      </c>
      <c r="C29" s="1">
        <v>497</v>
      </c>
      <c r="D29" s="17" t="s">
        <v>33</v>
      </c>
      <c r="E29" s="8">
        <v>30</v>
      </c>
      <c r="F29" s="7">
        <v>13580</v>
      </c>
      <c r="G29" s="14">
        <v>9200</v>
      </c>
      <c r="H29" s="15">
        <v>220</v>
      </c>
      <c r="I29" s="15">
        <v>0</v>
      </c>
      <c r="J29" s="3">
        <v>23000</v>
      </c>
      <c r="K29" s="35">
        <v>1630</v>
      </c>
      <c r="L29" s="35">
        <v>0</v>
      </c>
      <c r="M29" s="36">
        <f t="shared" si="0"/>
        <v>21370</v>
      </c>
      <c r="N29" s="40">
        <v>6</v>
      </c>
      <c r="O29" s="40">
        <v>0.5</v>
      </c>
    </row>
    <row r="30" spans="1:15" ht="15.5" x14ac:dyDescent="0.35">
      <c r="A30" s="43">
        <v>26</v>
      </c>
      <c r="B30" s="44" t="s">
        <v>3</v>
      </c>
      <c r="C30" s="45" t="s">
        <v>35</v>
      </c>
      <c r="D30" s="53" t="s">
        <v>34</v>
      </c>
      <c r="E30" s="12">
        <v>30</v>
      </c>
      <c r="F30" s="47">
        <v>20000</v>
      </c>
      <c r="G30" s="54">
        <v>16000</v>
      </c>
      <c r="H30" s="55">
        <v>4000</v>
      </c>
      <c r="I30" s="55">
        <v>0</v>
      </c>
      <c r="J30" s="48">
        <v>40000</v>
      </c>
      <c r="K30" s="49">
        <v>1800</v>
      </c>
      <c r="L30" s="49">
        <v>0</v>
      </c>
      <c r="M30" s="50">
        <f t="shared" si="0"/>
        <v>38200</v>
      </c>
      <c r="N30" s="51"/>
      <c r="O30" s="51"/>
    </row>
    <row r="31" spans="1:15" ht="15.5" x14ac:dyDescent="0.35">
      <c r="A31" s="5">
        <v>27</v>
      </c>
      <c r="B31" s="6" t="s">
        <v>3</v>
      </c>
      <c r="C31" s="1">
        <v>441</v>
      </c>
      <c r="D31" s="17" t="s">
        <v>36</v>
      </c>
      <c r="E31" s="8">
        <v>30</v>
      </c>
      <c r="F31" s="7">
        <v>13580</v>
      </c>
      <c r="G31" s="14">
        <v>9200</v>
      </c>
      <c r="H31" s="15">
        <v>220</v>
      </c>
      <c r="I31" s="15">
        <v>0</v>
      </c>
      <c r="J31" s="3">
        <v>23000</v>
      </c>
      <c r="K31" s="35">
        <v>1630</v>
      </c>
      <c r="L31" s="35">
        <v>0</v>
      </c>
      <c r="M31" s="36">
        <f t="shared" si="0"/>
        <v>21370</v>
      </c>
      <c r="N31" s="40">
        <v>10</v>
      </c>
      <c r="O31" s="40">
        <v>0</v>
      </c>
    </row>
    <row r="32" spans="1:15" ht="15.5" x14ac:dyDescent="0.35">
      <c r="A32" s="5">
        <v>28</v>
      </c>
      <c r="B32" s="6" t="s">
        <v>3</v>
      </c>
      <c r="C32" s="1">
        <v>430</v>
      </c>
      <c r="D32" s="17" t="s">
        <v>37</v>
      </c>
      <c r="E32" s="8">
        <v>30</v>
      </c>
      <c r="F32" s="7">
        <v>13580</v>
      </c>
      <c r="G32" s="14">
        <v>9200</v>
      </c>
      <c r="H32" s="15">
        <v>220</v>
      </c>
      <c r="I32" s="15">
        <v>0</v>
      </c>
      <c r="J32" s="3">
        <v>23000</v>
      </c>
      <c r="K32" s="35">
        <v>1630</v>
      </c>
      <c r="L32" s="35">
        <v>0</v>
      </c>
      <c r="M32" s="36">
        <f t="shared" si="0"/>
        <v>21370</v>
      </c>
      <c r="N32" s="40">
        <v>7</v>
      </c>
      <c r="O32" s="40">
        <v>0.5</v>
      </c>
    </row>
    <row r="33" spans="1:16" ht="15.5" x14ac:dyDescent="0.35">
      <c r="A33" s="5">
        <v>29</v>
      </c>
      <c r="B33" s="6" t="s">
        <v>3</v>
      </c>
      <c r="C33" s="1">
        <v>429</v>
      </c>
      <c r="D33" s="17" t="s">
        <v>38</v>
      </c>
      <c r="E33" s="8">
        <v>29.5</v>
      </c>
      <c r="F33" s="7">
        <v>13580</v>
      </c>
      <c r="G33" s="14">
        <v>10000</v>
      </c>
      <c r="H33" s="15">
        <v>1420</v>
      </c>
      <c r="I33" s="15">
        <v>0</v>
      </c>
      <c r="J33" s="3">
        <v>25000</v>
      </c>
      <c r="K33" s="35">
        <v>1602</v>
      </c>
      <c r="L33" s="35">
        <v>0</v>
      </c>
      <c r="M33" s="36">
        <f t="shared" si="0"/>
        <v>23398</v>
      </c>
      <c r="N33" s="40">
        <v>0</v>
      </c>
      <c r="O33" s="40">
        <v>0</v>
      </c>
    </row>
    <row r="34" spans="1:16" ht="15.5" x14ac:dyDescent="0.35">
      <c r="A34" s="5">
        <v>30</v>
      </c>
      <c r="B34" s="6" t="s">
        <v>3</v>
      </c>
      <c r="C34" s="1">
        <v>399</v>
      </c>
      <c r="D34" s="17" t="s">
        <v>39</v>
      </c>
      <c r="E34" s="8">
        <v>30</v>
      </c>
      <c r="F34" s="7">
        <v>13580</v>
      </c>
      <c r="G34" s="14">
        <v>10000</v>
      </c>
      <c r="H34" s="15">
        <v>1420</v>
      </c>
      <c r="I34" s="15">
        <v>0</v>
      </c>
      <c r="J34" s="3">
        <v>25000</v>
      </c>
      <c r="K34" s="35">
        <v>1630</v>
      </c>
      <c r="L34" s="35">
        <v>0</v>
      </c>
      <c r="M34" s="36">
        <f t="shared" si="0"/>
        <v>23370</v>
      </c>
      <c r="N34" s="40">
        <v>0</v>
      </c>
      <c r="O34" s="40">
        <v>0.5</v>
      </c>
    </row>
    <row r="35" spans="1:16" ht="15.5" x14ac:dyDescent="0.35">
      <c r="A35" s="5">
        <v>31</v>
      </c>
      <c r="B35" s="6" t="s">
        <v>3</v>
      </c>
      <c r="C35" s="1">
        <v>365</v>
      </c>
      <c r="D35" s="17" t="s">
        <v>40</v>
      </c>
      <c r="E35" s="8">
        <v>30</v>
      </c>
      <c r="F35" s="7">
        <v>13580</v>
      </c>
      <c r="G35" s="14">
        <v>9200</v>
      </c>
      <c r="H35" s="15">
        <v>220</v>
      </c>
      <c r="I35" s="15">
        <v>0</v>
      </c>
      <c r="J35" s="3">
        <v>23000</v>
      </c>
      <c r="K35" s="35">
        <v>1630</v>
      </c>
      <c r="L35" s="35">
        <v>0</v>
      </c>
      <c r="M35" s="36">
        <f t="shared" si="0"/>
        <v>21370</v>
      </c>
      <c r="N35" s="40">
        <v>3</v>
      </c>
      <c r="O35" s="40">
        <v>1</v>
      </c>
    </row>
    <row r="36" spans="1:16" ht="15.5" x14ac:dyDescent="0.35">
      <c r="A36" s="5">
        <v>32</v>
      </c>
      <c r="B36" s="19" t="s">
        <v>3</v>
      </c>
      <c r="C36" s="21">
        <v>364</v>
      </c>
      <c r="D36" s="20" t="s">
        <v>41</v>
      </c>
      <c r="E36" s="22">
        <v>13</v>
      </c>
      <c r="F36" s="23">
        <v>13580</v>
      </c>
      <c r="G36" s="24">
        <v>4420</v>
      </c>
      <c r="H36" s="25">
        <v>0</v>
      </c>
      <c r="I36" s="25">
        <v>0</v>
      </c>
      <c r="J36" s="26">
        <v>18000</v>
      </c>
      <c r="K36" s="37">
        <v>706</v>
      </c>
      <c r="L36" s="37">
        <v>59</v>
      </c>
      <c r="M36" s="38">
        <f t="shared" si="0"/>
        <v>17235</v>
      </c>
      <c r="N36" s="42">
        <v>6</v>
      </c>
      <c r="O36" s="42">
        <v>0</v>
      </c>
      <c r="P36" t="s">
        <v>126</v>
      </c>
    </row>
    <row r="37" spans="1:16" ht="15.5" x14ac:dyDescent="0.35">
      <c r="A37" s="5">
        <v>33</v>
      </c>
      <c r="B37" s="6" t="s">
        <v>3</v>
      </c>
      <c r="C37" s="1">
        <v>366</v>
      </c>
      <c r="D37" s="17" t="s">
        <v>42</v>
      </c>
      <c r="E37" s="8">
        <v>30</v>
      </c>
      <c r="F37" s="7">
        <v>13580</v>
      </c>
      <c r="G37" s="14">
        <v>10000</v>
      </c>
      <c r="H37" s="15">
        <v>1420</v>
      </c>
      <c r="I37" s="15">
        <v>0</v>
      </c>
      <c r="J37" s="3">
        <v>25000</v>
      </c>
      <c r="K37" s="35">
        <v>1630</v>
      </c>
      <c r="L37" s="35">
        <v>0</v>
      </c>
      <c r="M37" s="36">
        <f t="shared" si="0"/>
        <v>23370</v>
      </c>
      <c r="N37" s="40">
        <v>0.5</v>
      </c>
      <c r="O37" s="40">
        <v>0.5</v>
      </c>
    </row>
    <row r="38" spans="1:16" ht="15.5" x14ac:dyDescent="0.35">
      <c r="A38" s="5">
        <v>34</v>
      </c>
      <c r="B38" s="13" t="s">
        <v>3</v>
      </c>
      <c r="C38" s="1">
        <v>905</v>
      </c>
      <c r="D38" s="17" t="s">
        <v>43</v>
      </c>
      <c r="E38" s="8">
        <v>30</v>
      </c>
      <c r="F38" s="7">
        <v>13580</v>
      </c>
      <c r="G38" s="14">
        <v>9200</v>
      </c>
      <c r="H38" s="15">
        <v>220</v>
      </c>
      <c r="I38" s="15">
        <v>0</v>
      </c>
      <c r="J38" s="3">
        <v>23000</v>
      </c>
      <c r="K38" s="35">
        <v>1630</v>
      </c>
      <c r="L38" s="35">
        <v>0</v>
      </c>
      <c r="M38" s="36">
        <f t="shared" si="0"/>
        <v>21370</v>
      </c>
      <c r="N38" s="40">
        <v>8</v>
      </c>
      <c r="O38" s="40">
        <v>0</v>
      </c>
    </row>
    <row r="39" spans="1:16" ht="15.5" x14ac:dyDescent="0.35">
      <c r="A39" s="43">
        <v>35</v>
      </c>
      <c r="B39" s="57" t="s">
        <v>3</v>
      </c>
      <c r="C39" s="45" t="s">
        <v>45</v>
      </c>
      <c r="D39" s="53" t="s">
        <v>44</v>
      </c>
      <c r="E39" s="12">
        <v>30</v>
      </c>
      <c r="F39" s="47">
        <v>30000</v>
      </c>
      <c r="G39" s="54">
        <v>24000</v>
      </c>
      <c r="H39" s="55">
        <v>6000</v>
      </c>
      <c r="I39" s="55">
        <v>0</v>
      </c>
      <c r="J39" s="48">
        <v>60000</v>
      </c>
      <c r="K39" s="49">
        <v>0</v>
      </c>
      <c r="L39" s="49">
        <v>0</v>
      </c>
      <c r="M39" s="50">
        <f t="shared" si="0"/>
        <v>60000</v>
      </c>
      <c r="N39" s="51"/>
      <c r="O39" s="51"/>
    </row>
    <row r="40" spans="1:16" ht="15.5" x14ac:dyDescent="0.35">
      <c r="A40" s="5">
        <v>36</v>
      </c>
      <c r="B40" s="13" t="s">
        <v>3</v>
      </c>
      <c r="C40" s="1">
        <v>923</v>
      </c>
      <c r="D40" s="17" t="s">
        <v>46</v>
      </c>
      <c r="E40" s="8">
        <v>21.5</v>
      </c>
      <c r="F40" s="7">
        <v>13580</v>
      </c>
      <c r="G40" s="14">
        <v>7920</v>
      </c>
      <c r="H40" s="15">
        <v>0</v>
      </c>
      <c r="I40" s="15">
        <v>0</v>
      </c>
      <c r="J40" s="3">
        <v>21500</v>
      </c>
      <c r="K40" s="35">
        <v>1168</v>
      </c>
      <c r="L40" s="35">
        <v>0</v>
      </c>
      <c r="M40" s="36">
        <f t="shared" si="0"/>
        <v>20332</v>
      </c>
      <c r="N40" s="40">
        <v>0</v>
      </c>
      <c r="O40" s="40">
        <v>0</v>
      </c>
    </row>
    <row r="41" spans="1:16" ht="15.5" x14ac:dyDescent="0.35">
      <c r="A41" s="5">
        <v>37</v>
      </c>
      <c r="B41" s="18" t="s">
        <v>3</v>
      </c>
      <c r="C41" s="21">
        <v>1007</v>
      </c>
      <c r="D41" s="20" t="s">
        <v>47</v>
      </c>
      <c r="E41" s="22">
        <v>3</v>
      </c>
      <c r="F41" s="23">
        <v>13580</v>
      </c>
      <c r="G41" s="24">
        <v>4420</v>
      </c>
      <c r="H41" s="25">
        <v>0</v>
      </c>
      <c r="I41" s="25">
        <v>0</v>
      </c>
      <c r="J41" s="26">
        <v>18000</v>
      </c>
      <c r="K41" s="37">
        <v>163</v>
      </c>
      <c r="L41" s="37">
        <v>14</v>
      </c>
      <c r="M41" s="38">
        <f t="shared" si="0"/>
        <v>17823</v>
      </c>
      <c r="N41" s="42">
        <v>0</v>
      </c>
      <c r="O41" s="42">
        <v>0</v>
      </c>
      <c r="P41" t="s">
        <v>131</v>
      </c>
    </row>
    <row r="42" spans="1:16" ht="15.5" x14ac:dyDescent="0.35">
      <c r="A42" s="5">
        <v>38</v>
      </c>
      <c r="B42" s="13" t="s">
        <v>3</v>
      </c>
      <c r="C42" s="1">
        <v>1462</v>
      </c>
      <c r="D42" s="17" t="s">
        <v>48</v>
      </c>
      <c r="E42" s="8">
        <v>30</v>
      </c>
      <c r="F42" s="7">
        <v>13580</v>
      </c>
      <c r="G42" s="14">
        <v>7920</v>
      </c>
      <c r="H42" s="15">
        <v>0</v>
      </c>
      <c r="I42" s="15">
        <v>0</v>
      </c>
      <c r="J42" s="3">
        <v>21500</v>
      </c>
      <c r="K42" s="35">
        <v>1630</v>
      </c>
      <c r="L42" s="35">
        <v>0</v>
      </c>
      <c r="M42" s="36">
        <f t="shared" si="0"/>
        <v>19870</v>
      </c>
      <c r="N42" s="41">
        <v>10</v>
      </c>
      <c r="O42" s="40">
        <v>1</v>
      </c>
    </row>
    <row r="43" spans="1:16" ht="15.5" x14ac:dyDescent="0.35">
      <c r="A43" s="5">
        <v>39</v>
      </c>
      <c r="B43" s="13" t="s">
        <v>3</v>
      </c>
      <c r="C43" s="1">
        <v>877</v>
      </c>
      <c r="D43" s="17" t="s">
        <v>49</v>
      </c>
      <c r="E43" s="8">
        <v>30</v>
      </c>
      <c r="F43" s="7">
        <v>13580</v>
      </c>
      <c r="G43" s="14">
        <v>10400</v>
      </c>
      <c r="H43" s="15">
        <v>2020</v>
      </c>
      <c r="I43" s="15">
        <v>0</v>
      </c>
      <c r="J43" s="3">
        <v>26000</v>
      </c>
      <c r="K43" s="35">
        <v>1630</v>
      </c>
      <c r="L43" s="35">
        <v>0</v>
      </c>
      <c r="M43" s="36">
        <f t="shared" si="0"/>
        <v>24370</v>
      </c>
      <c r="N43" s="40">
        <v>10</v>
      </c>
      <c r="O43" s="40">
        <v>1</v>
      </c>
    </row>
    <row r="44" spans="1:16" ht="15.5" x14ac:dyDescent="0.35">
      <c r="A44" s="5">
        <v>40</v>
      </c>
      <c r="B44" s="13" t="s">
        <v>3</v>
      </c>
      <c r="C44" s="1">
        <v>904</v>
      </c>
      <c r="D44" s="17" t="s">
        <v>50</v>
      </c>
      <c r="E44" s="8">
        <v>30</v>
      </c>
      <c r="F44" s="7">
        <v>13580</v>
      </c>
      <c r="G44" s="14">
        <v>10000</v>
      </c>
      <c r="H44" s="15">
        <v>1420</v>
      </c>
      <c r="I44" s="15">
        <v>0</v>
      </c>
      <c r="J44" s="3">
        <v>25000</v>
      </c>
      <c r="K44" s="35">
        <v>1630</v>
      </c>
      <c r="L44" s="35">
        <v>0</v>
      </c>
      <c r="M44" s="36">
        <f t="shared" si="0"/>
        <v>23370</v>
      </c>
      <c r="N44" s="40">
        <v>1</v>
      </c>
      <c r="O44" s="40">
        <v>0.5</v>
      </c>
    </row>
    <row r="45" spans="1:16" ht="15.5" x14ac:dyDescent="0.35">
      <c r="A45" s="5">
        <v>41</v>
      </c>
      <c r="B45" s="13" t="s">
        <v>3</v>
      </c>
      <c r="C45" s="1">
        <v>979</v>
      </c>
      <c r="D45" s="17" t="s">
        <v>51</v>
      </c>
      <c r="E45" s="8">
        <v>30</v>
      </c>
      <c r="F45" s="7">
        <v>13580</v>
      </c>
      <c r="G45" s="14">
        <v>9200</v>
      </c>
      <c r="H45" s="15">
        <v>220</v>
      </c>
      <c r="I45" s="15">
        <v>0</v>
      </c>
      <c r="J45" s="3">
        <v>23000</v>
      </c>
      <c r="K45" s="35">
        <v>1630</v>
      </c>
      <c r="L45" s="35">
        <v>0</v>
      </c>
      <c r="M45" s="36">
        <f t="shared" si="0"/>
        <v>21370</v>
      </c>
      <c r="N45" s="40">
        <v>5</v>
      </c>
      <c r="O45" s="40">
        <v>1</v>
      </c>
    </row>
    <row r="46" spans="1:16" ht="15.5" x14ac:dyDescent="0.35">
      <c r="A46" s="5">
        <v>42</v>
      </c>
      <c r="B46" s="13" t="s">
        <v>3</v>
      </c>
      <c r="C46" s="1">
        <v>1390</v>
      </c>
      <c r="D46" s="17" t="s">
        <v>52</v>
      </c>
      <c r="E46" s="8">
        <v>25</v>
      </c>
      <c r="F46" s="7">
        <v>75000</v>
      </c>
      <c r="G46" s="14">
        <v>60000</v>
      </c>
      <c r="H46" s="15">
        <v>15000</v>
      </c>
      <c r="I46" s="15">
        <v>0</v>
      </c>
      <c r="J46" s="3">
        <v>150000</v>
      </c>
      <c r="K46" s="35">
        <v>0</v>
      </c>
      <c r="L46" s="35">
        <v>0</v>
      </c>
      <c r="M46" s="36">
        <f t="shared" si="0"/>
        <v>150000</v>
      </c>
      <c r="N46" s="40">
        <v>0</v>
      </c>
      <c r="O46" s="40">
        <v>0</v>
      </c>
    </row>
    <row r="47" spans="1:16" ht="15.5" x14ac:dyDescent="0.35">
      <c r="A47" s="5"/>
      <c r="B47" s="13"/>
      <c r="C47" s="13"/>
      <c r="D47" s="28"/>
      <c r="E47" s="8"/>
      <c r="F47" s="7"/>
      <c r="G47" s="14"/>
      <c r="H47" s="15"/>
      <c r="I47" s="15"/>
      <c r="J47" s="27"/>
    </row>
    <row r="48" spans="1:16" ht="16" thickBot="1" x14ac:dyDescent="0.4">
      <c r="A48" s="29"/>
      <c r="B48" s="30"/>
      <c r="C48" s="30"/>
      <c r="D48" s="31" t="s">
        <v>53</v>
      </c>
      <c r="E48" s="2"/>
      <c r="F48" s="4"/>
      <c r="G48" s="4"/>
      <c r="H48" s="4"/>
      <c r="I48" s="4"/>
      <c r="J48" s="32">
        <f>SUM(J5:J47)</f>
        <v>1522500</v>
      </c>
      <c r="K48" s="58"/>
      <c r="L48" s="58"/>
      <c r="M48" s="59">
        <f t="shared" ref="M48" si="1">SUM(M5:M47)</f>
        <v>1460395</v>
      </c>
      <c r="N48" s="35"/>
      <c r="O48" s="35"/>
    </row>
    <row r="49" ht="15" thickTop="1" x14ac:dyDescent="0.35"/>
  </sheetData>
  <mergeCells count="16">
    <mergeCell ref="A3:A4"/>
    <mergeCell ref="C3:C4"/>
    <mergeCell ref="B3:B4"/>
    <mergeCell ref="D3:D4"/>
    <mergeCell ref="M3:M4"/>
    <mergeCell ref="I3:I4"/>
    <mergeCell ref="J3:J4"/>
    <mergeCell ref="K3:L3"/>
    <mergeCell ref="C1:O1"/>
    <mergeCell ref="C2:O2"/>
    <mergeCell ref="E3:E4"/>
    <mergeCell ref="F3:F4"/>
    <mergeCell ref="G3:G4"/>
    <mergeCell ref="H3:H4"/>
    <mergeCell ref="N3:N4"/>
    <mergeCell ref="O3:O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abSelected="1" workbookViewId="0">
      <selection activeCell="A2" sqref="A2:K2"/>
    </sheetView>
  </sheetViews>
  <sheetFormatPr defaultRowHeight="14.5" x14ac:dyDescent="0.35"/>
  <cols>
    <col min="1" max="1" width="5.36328125" bestFit="1" customWidth="1"/>
    <col min="2" max="2" width="5.36328125" customWidth="1"/>
    <col min="3" max="3" width="27.26953125" bestFit="1" customWidth="1"/>
    <col min="4" max="4" width="9.453125" bestFit="1" customWidth="1"/>
    <col min="5" max="5" width="7.81640625" bestFit="1" customWidth="1"/>
    <col min="6" max="6" width="11.90625" bestFit="1" customWidth="1"/>
    <col min="7" max="7" width="4.90625" bestFit="1" customWidth="1"/>
    <col min="8" max="8" width="9.08984375" bestFit="1" customWidth="1"/>
    <col min="9" max="9" width="11.08984375" bestFit="1" customWidth="1"/>
  </cols>
  <sheetData>
    <row r="1" spans="1:13" s="34" customFormat="1" ht="21" x14ac:dyDescent="0.5">
      <c r="A1" s="79" t="s">
        <v>134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61"/>
      <c r="M1" s="61"/>
    </row>
    <row r="2" spans="1:13" s="34" customFormat="1" ht="15.5" x14ac:dyDescent="0.35">
      <c r="A2" s="80" t="s">
        <v>133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62"/>
      <c r="M2" s="62"/>
    </row>
    <row r="3" spans="1:13" ht="19" customHeight="1" x14ac:dyDescent="0.35">
      <c r="A3" s="75" t="s">
        <v>121</v>
      </c>
      <c r="B3" s="75" t="s">
        <v>54</v>
      </c>
      <c r="C3" s="75" t="s">
        <v>2</v>
      </c>
      <c r="D3" s="75" t="s">
        <v>55</v>
      </c>
      <c r="E3" s="75" t="s">
        <v>67</v>
      </c>
      <c r="F3" s="75" t="s">
        <v>68</v>
      </c>
      <c r="G3" s="75" t="s">
        <v>69</v>
      </c>
      <c r="H3" s="75" t="s">
        <v>122</v>
      </c>
      <c r="I3" s="75" t="s">
        <v>123</v>
      </c>
      <c r="J3" s="81" t="s">
        <v>129</v>
      </c>
      <c r="K3" s="81" t="s">
        <v>130</v>
      </c>
      <c r="L3" s="34"/>
      <c r="M3" s="34"/>
    </row>
    <row r="4" spans="1:13" ht="18.5" customHeight="1" x14ac:dyDescent="0.35">
      <c r="A4" s="75"/>
      <c r="B4" s="75"/>
      <c r="C4" s="75"/>
      <c r="D4" s="75"/>
      <c r="E4" s="75"/>
      <c r="F4" s="75"/>
      <c r="G4" s="75"/>
      <c r="H4" s="75"/>
      <c r="I4" s="75"/>
      <c r="J4" s="81"/>
      <c r="K4" s="81"/>
      <c r="L4" s="34"/>
      <c r="M4" s="34"/>
    </row>
    <row r="5" spans="1:13" x14ac:dyDescent="0.35">
      <c r="A5" s="63">
        <v>1</v>
      </c>
      <c r="B5" s="63">
        <v>165</v>
      </c>
      <c r="C5" s="35" t="s">
        <v>70</v>
      </c>
      <c r="D5" s="64">
        <v>30</v>
      </c>
      <c r="E5" s="63">
        <v>25000</v>
      </c>
      <c r="F5" s="64">
        <v>25000</v>
      </c>
      <c r="G5" s="63"/>
      <c r="H5" s="63">
        <v>0</v>
      </c>
      <c r="I5" s="64">
        <v>25000</v>
      </c>
      <c r="J5" s="63">
        <v>2</v>
      </c>
      <c r="K5" s="63">
        <v>0</v>
      </c>
    </row>
    <row r="6" spans="1:13" x14ac:dyDescent="0.35">
      <c r="A6" s="63">
        <v>2</v>
      </c>
      <c r="B6" s="63">
        <v>784</v>
      </c>
      <c r="C6" s="35" t="s">
        <v>71</v>
      </c>
      <c r="D6" s="64">
        <v>30</v>
      </c>
      <c r="E6" s="63">
        <v>20000</v>
      </c>
      <c r="F6" s="64">
        <v>20000</v>
      </c>
      <c r="G6" s="63"/>
      <c r="H6" s="63">
        <v>0</v>
      </c>
      <c r="I6" s="64">
        <v>20000</v>
      </c>
      <c r="J6" s="63">
        <v>0</v>
      </c>
      <c r="K6" s="63">
        <v>0</v>
      </c>
    </row>
    <row r="7" spans="1:13" x14ac:dyDescent="0.35">
      <c r="A7" s="63">
        <v>3</v>
      </c>
      <c r="B7" s="63">
        <v>788</v>
      </c>
      <c r="C7" s="35" t="s">
        <v>72</v>
      </c>
      <c r="D7" s="64">
        <v>29.5</v>
      </c>
      <c r="E7" s="63">
        <v>20000</v>
      </c>
      <c r="F7" s="64">
        <v>19667</v>
      </c>
      <c r="G7" s="63"/>
      <c r="H7" s="63">
        <v>0</v>
      </c>
      <c r="I7" s="64">
        <v>19667</v>
      </c>
      <c r="J7" s="63">
        <v>0</v>
      </c>
      <c r="K7" s="63">
        <v>0</v>
      </c>
    </row>
    <row r="8" spans="1:13" x14ac:dyDescent="0.35">
      <c r="A8" s="63">
        <v>4</v>
      </c>
      <c r="B8" s="63">
        <v>806</v>
      </c>
      <c r="C8" s="35" t="s">
        <v>73</v>
      </c>
      <c r="D8" s="64">
        <v>30</v>
      </c>
      <c r="E8" s="63">
        <v>24000</v>
      </c>
      <c r="F8" s="64">
        <v>24000</v>
      </c>
      <c r="G8" s="63"/>
      <c r="H8" s="63">
        <v>0</v>
      </c>
      <c r="I8" s="64">
        <v>24000</v>
      </c>
      <c r="J8" s="63">
        <v>5</v>
      </c>
      <c r="K8" s="63">
        <v>0.5</v>
      </c>
    </row>
    <row r="9" spans="1:13" x14ac:dyDescent="0.35">
      <c r="A9" s="63">
        <v>5</v>
      </c>
      <c r="B9" s="63">
        <v>828</v>
      </c>
      <c r="C9" s="35" t="s">
        <v>74</v>
      </c>
      <c r="D9" s="64">
        <v>30</v>
      </c>
      <c r="E9" s="63">
        <v>20000</v>
      </c>
      <c r="F9" s="64">
        <v>20000</v>
      </c>
      <c r="G9" s="63"/>
      <c r="H9" s="63">
        <v>0</v>
      </c>
      <c r="I9" s="64">
        <v>20000</v>
      </c>
      <c r="J9" s="63">
        <v>8</v>
      </c>
      <c r="K9" s="63">
        <v>1</v>
      </c>
    </row>
    <row r="10" spans="1:13" x14ac:dyDescent="0.35">
      <c r="A10" s="63">
        <v>6</v>
      </c>
      <c r="B10" s="63">
        <v>831</v>
      </c>
      <c r="C10" s="35" t="s">
        <v>75</v>
      </c>
      <c r="D10" s="64">
        <v>30</v>
      </c>
      <c r="E10" s="63">
        <v>19000</v>
      </c>
      <c r="F10" s="64">
        <v>19000</v>
      </c>
      <c r="G10" s="63"/>
      <c r="H10" s="63">
        <v>0</v>
      </c>
      <c r="I10" s="64">
        <v>19000</v>
      </c>
      <c r="J10" s="63">
        <v>9</v>
      </c>
      <c r="K10" s="63">
        <v>0.5</v>
      </c>
    </row>
    <row r="11" spans="1:13" x14ac:dyDescent="0.35">
      <c r="A11" s="63">
        <v>7</v>
      </c>
      <c r="B11" s="63">
        <v>832</v>
      </c>
      <c r="C11" s="35" t="s">
        <v>76</v>
      </c>
      <c r="D11" s="64">
        <v>29.5</v>
      </c>
      <c r="E11" s="63">
        <v>19000</v>
      </c>
      <c r="F11" s="64">
        <v>18683</v>
      </c>
      <c r="G11" s="63"/>
      <c r="H11" s="63">
        <v>0</v>
      </c>
      <c r="I11" s="64">
        <v>18683</v>
      </c>
      <c r="J11" s="63">
        <v>0</v>
      </c>
      <c r="K11" s="63">
        <v>0</v>
      </c>
    </row>
    <row r="12" spans="1:13" x14ac:dyDescent="0.35">
      <c r="A12" s="63">
        <v>8</v>
      </c>
      <c r="B12" s="63">
        <v>835</v>
      </c>
      <c r="C12" s="35" t="s">
        <v>77</v>
      </c>
      <c r="D12" s="64">
        <v>30</v>
      </c>
      <c r="E12" s="63">
        <v>20000</v>
      </c>
      <c r="F12" s="64">
        <v>20000</v>
      </c>
      <c r="G12" s="63"/>
      <c r="H12" s="63">
        <v>0</v>
      </c>
      <c r="I12" s="64">
        <v>20000</v>
      </c>
      <c r="J12" s="63">
        <v>1</v>
      </c>
      <c r="K12" s="63">
        <v>0.5</v>
      </c>
    </row>
    <row r="13" spans="1:13" x14ac:dyDescent="0.35">
      <c r="A13" s="63">
        <v>9</v>
      </c>
      <c r="B13" s="63">
        <v>836</v>
      </c>
      <c r="C13" s="35" t="s">
        <v>78</v>
      </c>
      <c r="D13" s="64">
        <v>30</v>
      </c>
      <c r="E13" s="63">
        <v>20000</v>
      </c>
      <c r="F13" s="64">
        <v>20000</v>
      </c>
      <c r="G13" s="63"/>
      <c r="H13" s="63">
        <v>0</v>
      </c>
      <c r="I13" s="64">
        <v>20000</v>
      </c>
      <c r="J13" s="63">
        <v>6</v>
      </c>
      <c r="K13" s="63">
        <v>1</v>
      </c>
    </row>
    <row r="14" spans="1:13" x14ac:dyDescent="0.35">
      <c r="A14" s="63">
        <v>10</v>
      </c>
      <c r="B14" s="63">
        <v>841</v>
      </c>
      <c r="C14" s="35" t="s">
        <v>79</v>
      </c>
      <c r="D14" s="64">
        <v>30</v>
      </c>
      <c r="E14" s="63">
        <v>20000</v>
      </c>
      <c r="F14" s="64">
        <v>20000</v>
      </c>
      <c r="G14" s="63"/>
      <c r="H14" s="63">
        <v>0</v>
      </c>
      <c r="I14" s="64">
        <v>20000</v>
      </c>
      <c r="J14" s="63">
        <v>0</v>
      </c>
      <c r="K14" s="63">
        <v>0</v>
      </c>
    </row>
    <row r="15" spans="1:13" x14ac:dyDescent="0.35">
      <c r="A15" s="63">
        <v>11</v>
      </c>
      <c r="B15" s="63">
        <v>842</v>
      </c>
      <c r="C15" s="35" t="s">
        <v>80</v>
      </c>
      <c r="D15" s="64">
        <v>30</v>
      </c>
      <c r="E15" s="63">
        <v>19000</v>
      </c>
      <c r="F15" s="64">
        <v>19000</v>
      </c>
      <c r="G15" s="63"/>
      <c r="H15" s="63">
        <v>0</v>
      </c>
      <c r="I15" s="64">
        <v>19000</v>
      </c>
      <c r="J15" s="63">
        <v>1</v>
      </c>
      <c r="K15" s="63">
        <v>0.5</v>
      </c>
    </row>
    <row r="16" spans="1:13" x14ac:dyDescent="0.35">
      <c r="A16" s="63">
        <v>12</v>
      </c>
      <c r="B16" s="63">
        <v>850</v>
      </c>
      <c r="C16" s="35" t="s">
        <v>81</v>
      </c>
      <c r="D16" s="64">
        <v>30</v>
      </c>
      <c r="E16" s="63">
        <v>20000</v>
      </c>
      <c r="F16" s="64">
        <v>20000</v>
      </c>
      <c r="G16" s="63"/>
      <c r="H16" s="63">
        <v>0</v>
      </c>
      <c r="I16" s="64">
        <v>20000</v>
      </c>
      <c r="J16" s="63">
        <v>6</v>
      </c>
      <c r="K16" s="63">
        <v>0</v>
      </c>
    </row>
    <row r="17" spans="1:13" x14ac:dyDescent="0.35">
      <c r="A17" s="63">
        <v>13</v>
      </c>
      <c r="B17" s="63">
        <v>864</v>
      </c>
      <c r="C17" s="35" t="s">
        <v>82</v>
      </c>
      <c r="D17" s="64">
        <v>30</v>
      </c>
      <c r="E17" s="63">
        <v>19000</v>
      </c>
      <c r="F17" s="64">
        <v>19000</v>
      </c>
      <c r="G17" s="63"/>
      <c r="H17" s="63">
        <v>0</v>
      </c>
      <c r="I17" s="64">
        <v>19000</v>
      </c>
      <c r="J17" s="63">
        <v>2</v>
      </c>
      <c r="K17" s="63">
        <v>0</v>
      </c>
    </row>
    <row r="18" spans="1:13" x14ac:dyDescent="0.35">
      <c r="A18" s="63">
        <v>14</v>
      </c>
      <c r="B18" s="63">
        <v>866</v>
      </c>
      <c r="C18" s="35" t="s">
        <v>83</v>
      </c>
      <c r="D18" s="64">
        <v>30</v>
      </c>
      <c r="E18" s="63">
        <v>20000</v>
      </c>
      <c r="F18" s="64">
        <v>20000</v>
      </c>
      <c r="G18" s="63"/>
      <c r="H18" s="63">
        <v>0</v>
      </c>
      <c r="I18" s="64">
        <v>20000</v>
      </c>
      <c r="J18" s="63">
        <v>4</v>
      </c>
      <c r="K18" s="63">
        <v>0</v>
      </c>
    </row>
    <row r="19" spans="1:13" x14ac:dyDescent="0.35">
      <c r="A19" s="63">
        <v>15</v>
      </c>
      <c r="B19" s="63">
        <v>869</v>
      </c>
      <c r="C19" s="35" t="s">
        <v>84</v>
      </c>
      <c r="D19" s="64">
        <v>30</v>
      </c>
      <c r="E19" s="63">
        <v>20000</v>
      </c>
      <c r="F19" s="64">
        <v>20000</v>
      </c>
      <c r="G19" s="63"/>
      <c r="H19" s="63">
        <v>0</v>
      </c>
      <c r="I19" s="64">
        <v>20000</v>
      </c>
      <c r="J19" s="63">
        <v>2</v>
      </c>
      <c r="K19" s="63">
        <v>0</v>
      </c>
    </row>
    <row r="20" spans="1:13" x14ac:dyDescent="0.35">
      <c r="A20" s="63">
        <v>16</v>
      </c>
      <c r="B20" s="63">
        <v>894</v>
      </c>
      <c r="C20" s="35" t="s">
        <v>85</v>
      </c>
      <c r="D20" s="64">
        <v>29.5</v>
      </c>
      <c r="E20" s="63">
        <v>20000</v>
      </c>
      <c r="F20" s="64">
        <v>19667</v>
      </c>
      <c r="G20" s="63"/>
      <c r="H20" s="63">
        <v>0</v>
      </c>
      <c r="I20" s="64">
        <v>19667</v>
      </c>
      <c r="J20" s="63">
        <v>0</v>
      </c>
      <c r="K20" s="63">
        <v>0</v>
      </c>
    </row>
    <row r="21" spans="1:13" x14ac:dyDescent="0.35">
      <c r="A21" s="63">
        <v>17</v>
      </c>
      <c r="B21" s="63">
        <v>897</v>
      </c>
      <c r="C21" s="35" t="s">
        <v>86</v>
      </c>
      <c r="D21" s="64">
        <v>30</v>
      </c>
      <c r="E21" s="63">
        <v>20000</v>
      </c>
      <c r="F21" s="64">
        <v>20000</v>
      </c>
      <c r="G21" s="63"/>
      <c r="H21" s="63">
        <v>0</v>
      </c>
      <c r="I21" s="64">
        <v>20000</v>
      </c>
      <c r="J21" s="63">
        <v>8</v>
      </c>
      <c r="K21" s="63">
        <v>1</v>
      </c>
    </row>
    <row r="22" spans="1:13" x14ac:dyDescent="0.35">
      <c r="A22" s="63">
        <v>18</v>
      </c>
      <c r="B22" s="63">
        <v>903</v>
      </c>
      <c r="C22" s="35" t="s">
        <v>87</v>
      </c>
      <c r="D22" s="64">
        <v>30</v>
      </c>
      <c r="E22" s="63">
        <v>20000</v>
      </c>
      <c r="F22" s="64">
        <v>20000</v>
      </c>
      <c r="G22" s="63"/>
      <c r="H22" s="63">
        <v>0</v>
      </c>
      <c r="I22" s="64">
        <v>20000</v>
      </c>
      <c r="J22" s="63">
        <v>5</v>
      </c>
      <c r="K22" s="63">
        <v>0</v>
      </c>
    </row>
    <row r="23" spans="1:13" x14ac:dyDescent="0.35">
      <c r="A23" s="63">
        <v>19</v>
      </c>
      <c r="B23" s="63">
        <v>913</v>
      </c>
      <c r="C23" s="35" t="s">
        <v>88</v>
      </c>
      <c r="D23" s="64">
        <v>30</v>
      </c>
      <c r="E23" s="63">
        <v>20000</v>
      </c>
      <c r="F23" s="64">
        <v>20000</v>
      </c>
      <c r="G23" s="63"/>
      <c r="H23" s="63">
        <v>0</v>
      </c>
      <c r="I23" s="64">
        <v>20000</v>
      </c>
      <c r="J23" s="63">
        <v>6</v>
      </c>
      <c r="K23" s="63">
        <v>0</v>
      </c>
    </row>
    <row r="24" spans="1:13" x14ac:dyDescent="0.35">
      <c r="A24" s="63">
        <v>20</v>
      </c>
      <c r="B24" s="63">
        <v>974</v>
      </c>
      <c r="C24" s="35" t="s">
        <v>89</v>
      </c>
      <c r="D24" s="64">
        <v>30</v>
      </c>
      <c r="E24" s="63">
        <v>20000</v>
      </c>
      <c r="F24" s="64">
        <v>20000</v>
      </c>
      <c r="G24" s="63"/>
      <c r="H24" s="63">
        <v>0</v>
      </c>
      <c r="I24" s="64">
        <v>20000</v>
      </c>
      <c r="J24" s="63">
        <v>7</v>
      </c>
      <c r="K24" s="63">
        <v>0.5</v>
      </c>
    </row>
    <row r="25" spans="1:13" x14ac:dyDescent="0.35">
      <c r="A25" s="63">
        <v>21</v>
      </c>
      <c r="B25" s="63">
        <v>975</v>
      </c>
      <c r="C25" s="35" t="s">
        <v>90</v>
      </c>
      <c r="D25" s="64">
        <v>30</v>
      </c>
      <c r="E25" s="63">
        <v>20000</v>
      </c>
      <c r="F25" s="64">
        <v>20000</v>
      </c>
      <c r="G25" s="63"/>
      <c r="H25" s="63">
        <v>0</v>
      </c>
      <c r="I25" s="64">
        <v>20000</v>
      </c>
      <c r="J25" s="63">
        <v>3</v>
      </c>
      <c r="K25" s="63">
        <v>0</v>
      </c>
    </row>
    <row r="26" spans="1:13" s="60" customFormat="1" x14ac:dyDescent="0.35">
      <c r="A26" s="63">
        <v>22</v>
      </c>
      <c r="B26" s="63">
        <v>980</v>
      </c>
      <c r="C26" s="35" t="s">
        <v>91</v>
      </c>
      <c r="D26" s="64">
        <v>30</v>
      </c>
      <c r="E26" s="63">
        <v>20000</v>
      </c>
      <c r="F26" s="64">
        <v>20000</v>
      </c>
      <c r="G26" s="63"/>
      <c r="H26" s="63">
        <v>0</v>
      </c>
      <c r="I26" s="64">
        <v>20000</v>
      </c>
      <c r="J26" s="63">
        <v>1</v>
      </c>
      <c r="K26" s="63">
        <v>0</v>
      </c>
      <c r="L26"/>
      <c r="M26"/>
    </row>
    <row r="27" spans="1:13" x14ac:dyDescent="0.35">
      <c r="A27" s="63">
        <v>23</v>
      </c>
      <c r="B27" s="63">
        <v>1006</v>
      </c>
      <c r="C27" s="35" t="s">
        <v>92</v>
      </c>
      <c r="D27" s="64">
        <v>30</v>
      </c>
      <c r="E27" s="63">
        <v>20000</v>
      </c>
      <c r="F27" s="64">
        <v>20000</v>
      </c>
      <c r="G27" s="63"/>
      <c r="H27" s="63">
        <v>0</v>
      </c>
      <c r="I27" s="64">
        <v>20000</v>
      </c>
      <c r="J27" s="63">
        <v>2</v>
      </c>
      <c r="K27" s="63">
        <v>0</v>
      </c>
    </row>
    <row r="28" spans="1:13" x14ac:dyDescent="0.35">
      <c r="A28" s="65">
        <v>24</v>
      </c>
      <c r="B28" s="65">
        <v>1149</v>
      </c>
      <c r="C28" s="37" t="s">
        <v>93</v>
      </c>
      <c r="D28" s="66">
        <v>1</v>
      </c>
      <c r="E28" s="65">
        <v>15000</v>
      </c>
      <c r="F28" s="66">
        <v>500</v>
      </c>
      <c r="G28" s="65"/>
      <c r="H28" s="65">
        <v>0</v>
      </c>
      <c r="I28" s="66">
        <v>500</v>
      </c>
      <c r="J28" s="65">
        <v>0</v>
      </c>
      <c r="K28" s="65">
        <v>0</v>
      </c>
      <c r="L28" s="60" t="s">
        <v>126</v>
      </c>
      <c r="M28" s="60"/>
    </row>
    <row r="29" spans="1:13" s="60" customFormat="1" x14ac:dyDescent="0.35">
      <c r="A29" s="63">
        <v>25</v>
      </c>
      <c r="B29" s="63">
        <v>1157</v>
      </c>
      <c r="C29" s="35" t="s">
        <v>94</v>
      </c>
      <c r="D29" s="64">
        <v>30</v>
      </c>
      <c r="E29" s="63">
        <v>15000</v>
      </c>
      <c r="F29" s="64">
        <v>15000</v>
      </c>
      <c r="G29" s="63"/>
      <c r="H29" s="63">
        <v>0</v>
      </c>
      <c r="I29" s="64">
        <v>15000</v>
      </c>
      <c r="J29" s="63">
        <v>7</v>
      </c>
      <c r="K29" s="63">
        <v>2</v>
      </c>
      <c r="L29"/>
      <c r="M29"/>
    </row>
    <row r="30" spans="1:13" x14ac:dyDescent="0.35">
      <c r="A30" s="63">
        <v>26</v>
      </c>
      <c r="B30" s="63">
        <v>1170</v>
      </c>
      <c r="C30" s="35" t="s">
        <v>95</v>
      </c>
      <c r="D30" s="64">
        <v>30</v>
      </c>
      <c r="E30" s="63">
        <v>18000</v>
      </c>
      <c r="F30" s="64">
        <v>18000</v>
      </c>
      <c r="G30" s="63"/>
      <c r="H30" s="63">
        <v>0</v>
      </c>
      <c r="I30" s="64">
        <v>18000</v>
      </c>
      <c r="J30" s="63">
        <v>4</v>
      </c>
      <c r="K30" s="63">
        <v>0</v>
      </c>
    </row>
    <row r="31" spans="1:13" x14ac:dyDescent="0.35">
      <c r="A31" s="65">
        <v>27</v>
      </c>
      <c r="B31" s="65">
        <v>1184</v>
      </c>
      <c r="C31" s="37" t="s">
        <v>96</v>
      </c>
      <c r="D31" s="66">
        <v>5</v>
      </c>
      <c r="E31" s="65">
        <v>14000</v>
      </c>
      <c r="F31" s="66">
        <v>2333</v>
      </c>
      <c r="G31" s="65"/>
      <c r="H31" s="65">
        <v>0</v>
      </c>
      <c r="I31" s="66">
        <v>2333</v>
      </c>
      <c r="J31" s="65">
        <v>0</v>
      </c>
      <c r="K31" s="65">
        <v>0</v>
      </c>
      <c r="L31" s="60" t="s">
        <v>126</v>
      </c>
      <c r="M31" s="60"/>
    </row>
    <row r="32" spans="1:13" x14ac:dyDescent="0.35">
      <c r="A32" s="63">
        <v>28</v>
      </c>
      <c r="B32" s="63">
        <v>1269</v>
      </c>
      <c r="C32" s="35" t="s">
        <v>97</v>
      </c>
      <c r="D32" s="64">
        <v>30</v>
      </c>
      <c r="E32" s="63">
        <v>20000</v>
      </c>
      <c r="F32" s="64">
        <v>20000</v>
      </c>
      <c r="G32" s="63"/>
      <c r="H32" s="63">
        <v>0</v>
      </c>
      <c r="I32" s="64">
        <v>20000</v>
      </c>
      <c r="J32" s="63">
        <v>0</v>
      </c>
      <c r="K32" s="63">
        <v>0.5</v>
      </c>
    </row>
    <row r="33" spans="1:12" x14ac:dyDescent="0.35">
      <c r="A33" s="63">
        <v>29</v>
      </c>
      <c r="B33" s="63">
        <v>1313</v>
      </c>
      <c r="C33" s="35" t="s">
        <v>98</v>
      </c>
      <c r="D33" s="64">
        <v>30</v>
      </c>
      <c r="E33" s="63">
        <v>20000</v>
      </c>
      <c r="F33" s="64">
        <v>20000</v>
      </c>
      <c r="G33" s="63"/>
      <c r="H33" s="63">
        <v>0</v>
      </c>
      <c r="I33" s="64">
        <v>20000</v>
      </c>
      <c r="J33" s="63">
        <v>7</v>
      </c>
      <c r="K33" s="63">
        <v>1</v>
      </c>
    </row>
    <row r="34" spans="1:12" x14ac:dyDescent="0.35">
      <c r="A34" s="63">
        <v>30</v>
      </c>
      <c r="B34" s="63">
        <v>1314</v>
      </c>
      <c r="C34" s="35" t="s">
        <v>99</v>
      </c>
      <c r="D34" s="64">
        <v>30</v>
      </c>
      <c r="E34" s="63">
        <v>20000</v>
      </c>
      <c r="F34" s="64">
        <v>20000</v>
      </c>
      <c r="G34" s="63"/>
      <c r="H34" s="63">
        <v>0</v>
      </c>
      <c r="I34" s="64">
        <v>20000</v>
      </c>
      <c r="J34" s="63">
        <v>0</v>
      </c>
      <c r="K34" s="63">
        <v>0.5</v>
      </c>
    </row>
    <row r="35" spans="1:12" x14ac:dyDescent="0.35">
      <c r="A35" s="63">
        <v>31</v>
      </c>
      <c r="B35" s="63">
        <v>1335</v>
      </c>
      <c r="C35" s="35" t="s">
        <v>100</v>
      </c>
      <c r="D35" s="64">
        <v>27.5</v>
      </c>
      <c r="E35" s="63">
        <v>20000</v>
      </c>
      <c r="F35" s="64">
        <v>18333</v>
      </c>
      <c r="G35" s="63"/>
      <c r="H35" s="63">
        <v>0</v>
      </c>
      <c r="I35" s="64">
        <v>18333</v>
      </c>
      <c r="J35" s="63">
        <v>0</v>
      </c>
      <c r="K35" s="63">
        <v>0</v>
      </c>
    </row>
    <row r="36" spans="1:12" x14ac:dyDescent="0.35">
      <c r="A36" s="63">
        <v>32</v>
      </c>
      <c r="B36" s="63">
        <v>1360</v>
      </c>
      <c r="C36" s="35" t="s">
        <v>101</v>
      </c>
      <c r="D36" s="64">
        <v>30</v>
      </c>
      <c r="E36" s="63">
        <v>19000</v>
      </c>
      <c r="F36" s="64">
        <v>19000</v>
      </c>
      <c r="G36" s="63"/>
      <c r="H36" s="63">
        <v>0</v>
      </c>
      <c r="I36" s="64">
        <v>19000</v>
      </c>
      <c r="J36" s="63">
        <v>6</v>
      </c>
      <c r="K36" s="63">
        <v>0</v>
      </c>
    </row>
    <row r="37" spans="1:12" x14ac:dyDescent="0.35">
      <c r="A37" s="63">
        <v>33</v>
      </c>
      <c r="B37" s="63">
        <v>1463</v>
      </c>
      <c r="C37" s="35" t="s">
        <v>102</v>
      </c>
      <c r="D37" s="64">
        <v>29.5</v>
      </c>
      <c r="E37" s="63">
        <v>14000</v>
      </c>
      <c r="F37" s="64">
        <v>13767</v>
      </c>
      <c r="G37" s="63"/>
      <c r="H37" s="63">
        <v>0</v>
      </c>
      <c r="I37" s="64">
        <v>13767</v>
      </c>
      <c r="J37" s="63">
        <v>0</v>
      </c>
      <c r="K37" s="63">
        <v>0</v>
      </c>
    </row>
    <row r="38" spans="1:12" x14ac:dyDescent="0.35">
      <c r="A38" s="63">
        <v>34</v>
      </c>
      <c r="B38" s="63">
        <v>1464</v>
      </c>
      <c r="C38" s="35" t="s">
        <v>103</v>
      </c>
      <c r="D38" s="64">
        <v>30</v>
      </c>
      <c r="E38" s="63">
        <v>16000</v>
      </c>
      <c r="F38" s="64">
        <v>16000</v>
      </c>
      <c r="G38" s="63"/>
      <c r="H38" s="63">
        <v>0</v>
      </c>
      <c r="I38" s="64">
        <v>16000</v>
      </c>
      <c r="J38" s="63">
        <v>4</v>
      </c>
      <c r="K38" s="63">
        <v>0.5</v>
      </c>
    </row>
    <row r="39" spans="1:12" x14ac:dyDescent="0.35">
      <c r="A39" s="63">
        <v>35</v>
      </c>
      <c r="B39" s="63">
        <v>1572</v>
      </c>
      <c r="C39" s="35" t="s">
        <v>104</v>
      </c>
      <c r="D39" s="64">
        <v>30</v>
      </c>
      <c r="E39" s="63">
        <v>14000</v>
      </c>
      <c r="F39" s="64">
        <v>14000</v>
      </c>
      <c r="G39" s="63"/>
      <c r="H39" s="63">
        <v>0</v>
      </c>
      <c r="I39" s="64">
        <v>14000</v>
      </c>
      <c r="J39" s="63">
        <v>0</v>
      </c>
      <c r="K39" s="63">
        <v>0.5</v>
      </c>
    </row>
    <row r="40" spans="1:12" x14ac:dyDescent="0.35">
      <c r="A40" s="65">
        <v>36</v>
      </c>
      <c r="B40" s="65">
        <v>1660</v>
      </c>
      <c r="C40" s="37" t="s">
        <v>125</v>
      </c>
      <c r="D40" s="66">
        <v>30</v>
      </c>
      <c r="E40" s="65">
        <v>14000</v>
      </c>
      <c r="F40" s="66">
        <v>14000</v>
      </c>
      <c r="G40" s="65"/>
      <c r="H40" s="65">
        <v>0</v>
      </c>
      <c r="I40" s="66">
        <v>14000</v>
      </c>
      <c r="J40" s="65">
        <v>1</v>
      </c>
      <c r="K40" s="65">
        <v>1</v>
      </c>
      <c r="L40" s="60" t="s">
        <v>127</v>
      </c>
    </row>
    <row r="41" spans="1:12" x14ac:dyDescent="0.35">
      <c r="A41" s="63">
        <v>37</v>
      </c>
      <c r="B41" s="63">
        <v>1661</v>
      </c>
      <c r="C41" s="35" t="s">
        <v>105</v>
      </c>
      <c r="D41" s="64">
        <v>30</v>
      </c>
      <c r="E41" s="63">
        <v>14000</v>
      </c>
      <c r="F41" s="64">
        <v>14000</v>
      </c>
      <c r="G41" s="63"/>
      <c r="H41" s="63">
        <v>0</v>
      </c>
      <c r="I41" s="64">
        <v>14000</v>
      </c>
      <c r="J41" s="63">
        <v>2</v>
      </c>
      <c r="K41" s="63">
        <v>0</v>
      </c>
    </row>
    <row r="42" spans="1:12" x14ac:dyDescent="0.35">
      <c r="A42" s="63">
        <v>38</v>
      </c>
      <c r="B42" s="63">
        <v>1662</v>
      </c>
      <c r="C42" s="35" t="s">
        <v>106</v>
      </c>
      <c r="D42" s="64">
        <v>30</v>
      </c>
      <c r="E42" s="63">
        <v>14000</v>
      </c>
      <c r="F42" s="64">
        <v>14000</v>
      </c>
      <c r="G42" s="63"/>
      <c r="H42" s="63">
        <v>0</v>
      </c>
      <c r="I42" s="64">
        <v>14000</v>
      </c>
      <c r="J42" s="63">
        <v>1</v>
      </c>
      <c r="K42" s="63">
        <v>0</v>
      </c>
    </row>
    <row r="43" spans="1:12" x14ac:dyDescent="0.35">
      <c r="A43" s="63">
        <v>39</v>
      </c>
      <c r="B43" s="63">
        <v>1725</v>
      </c>
      <c r="C43" s="35" t="s">
        <v>107</v>
      </c>
      <c r="D43" s="64">
        <v>30</v>
      </c>
      <c r="E43" s="63">
        <v>14000</v>
      </c>
      <c r="F43" s="64">
        <v>14000</v>
      </c>
      <c r="G43" s="63"/>
      <c r="H43" s="63">
        <v>0</v>
      </c>
      <c r="I43" s="64">
        <v>14000</v>
      </c>
      <c r="J43" s="63">
        <v>0</v>
      </c>
      <c r="K43" s="63">
        <v>0</v>
      </c>
    </row>
    <row r="44" spans="1:12" x14ac:dyDescent="0.35">
      <c r="A44" s="63">
        <v>40</v>
      </c>
      <c r="B44" s="63">
        <v>1727</v>
      </c>
      <c r="C44" s="35" t="s">
        <v>108</v>
      </c>
      <c r="D44" s="64">
        <v>30</v>
      </c>
      <c r="E44" s="63">
        <v>14000</v>
      </c>
      <c r="F44" s="64">
        <v>14000</v>
      </c>
      <c r="G44" s="63"/>
      <c r="H44" s="63">
        <v>0</v>
      </c>
      <c r="I44" s="64">
        <v>14000</v>
      </c>
      <c r="J44" s="63">
        <v>2</v>
      </c>
      <c r="K44" s="63">
        <v>0</v>
      </c>
    </row>
    <row r="45" spans="1:12" x14ac:dyDescent="0.35">
      <c r="A45" s="63">
        <v>41</v>
      </c>
      <c r="B45" s="63">
        <v>1728</v>
      </c>
      <c r="C45" s="35" t="s">
        <v>109</v>
      </c>
      <c r="D45" s="64">
        <v>30</v>
      </c>
      <c r="E45" s="63">
        <v>14000</v>
      </c>
      <c r="F45" s="64">
        <v>14000</v>
      </c>
      <c r="G45" s="63"/>
      <c r="H45" s="63">
        <v>0</v>
      </c>
      <c r="I45" s="64">
        <v>14000</v>
      </c>
      <c r="J45" s="63">
        <v>0</v>
      </c>
      <c r="K45" s="63">
        <v>0</v>
      </c>
    </row>
    <row r="46" spans="1:12" x14ac:dyDescent="0.35">
      <c r="A46" s="63">
        <v>42</v>
      </c>
      <c r="B46" s="63">
        <v>1729</v>
      </c>
      <c r="C46" s="35" t="s">
        <v>110</v>
      </c>
      <c r="D46" s="64">
        <v>30</v>
      </c>
      <c r="E46" s="63">
        <v>14000</v>
      </c>
      <c r="F46" s="64">
        <v>14000</v>
      </c>
      <c r="G46" s="63"/>
      <c r="H46" s="63">
        <v>0</v>
      </c>
      <c r="I46" s="64">
        <v>14000</v>
      </c>
      <c r="J46" s="63">
        <v>2</v>
      </c>
      <c r="K46" s="63">
        <v>0</v>
      </c>
    </row>
    <row r="47" spans="1:12" x14ac:dyDescent="0.35">
      <c r="A47" s="63">
        <v>43</v>
      </c>
      <c r="B47" s="63">
        <v>1756</v>
      </c>
      <c r="C47" s="35" t="s">
        <v>111</v>
      </c>
      <c r="D47" s="64">
        <v>28.5</v>
      </c>
      <c r="E47" s="63">
        <v>14000</v>
      </c>
      <c r="F47" s="64">
        <v>13300</v>
      </c>
      <c r="G47" s="63"/>
      <c r="H47" s="63">
        <v>0</v>
      </c>
      <c r="I47" s="64">
        <v>13300</v>
      </c>
      <c r="J47" s="63">
        <v>0</v>
      </c>
      <c r="K47" s="63">
        <v>0</v>
      </c>
    </row>
    <row r="48" spans="1:12" x14ac:dyDescent="0.35">
      <c r="A48" s="63">
        <v>44</v>
      </c>
      <c r="B48" s="63">
        <v>1774</v>
      </c>
      <c r="C48" s="35" t="s">
        <v>112</v>
      </c>
      <c r="D48" s="64">
        <v>25</v>
      </c>
      <c r="E48" s="63">
        <v>14000</v>
      </c>
      <c r="F48" s="64">
        <v>11667</v>
      </c>
      <c r="G48" s="63"/>
      <c r="H48" s="63">
        <v>0</v>
      </c>
      <c r="I48" s="64">
        <v>11667</v>
      </c>
      <c r="J48" s="63">
        <v>1</v>
      </c>
      <c r="K48" s="63">
        <v>0.5</v>
      </c>
    </row>
    <row r="49" spans="1:13" x14ac:dyDescent="0.35">
      <c r="A49" s="65">
        <v>45</v>
      </c>
      <c r="B49" s="65">
        <v>1775</v>
      </c>
      <c r="C49" s="37" t="s">
        <v>113</v>
      </c>
      <c r="D49" s="66">
        <v>29.5</v>
      </c>
      <c r="E49" s="65">
        <v>14000</v>
      </c>
      <c r="F49" s="66">
        <v>13767</v>
      </c>
      <c r="G49" s="65"/>
      <c r="H49" s="65">
        <v>0</v>
      </c>
      <c r="I49" s="66">
        <v>13767</v>
      </c>
      <c r="J49" s="65">
        <v>0</v>
      </c>
      <c r="K49" s="65">
        <v>0</v>
      </c>
      <c r="L49" s="60" t="s">
        <v>127</v>
      </c>
    </row>
    <row r="50" spans="1:13" x14ac:dyDescent="0.35">
      <c r="A50" s="63">
        <v>46</v>
      </c>
      <c r="B50" s="63">
        <v>1776</v>
      </c>
      <c r="C50" s="35" t="s">
        <v>114</v>
      </c>
      <c r="D50" s="64">
        <v>30</v>
      </c>
      <c r="E50" s="63">
        <v>14000</v>
      </c>
      <c r="F50" s="64">
        <v>14000</v>
      </c>
      <c r="G50" s="63"/>
      <c r="H50" s="63">
        <v>0</v>
      </c>
      <c r="I50" s="64">
        <v>14000</v>
      </c>
      <c r="J50" s="63">
        <v>0</v>
      </c>
      <c r="K50" s="63">
        <v>0.5</v>
      </c>
    </row>
    <row r="51" spans="1:13" x14ac:dyDescent="0.35">
      <c r="A51" s="63">
        <v>47</v>
      </c>
      <c r="B51" s="63">
        <v>1777</v>
      </c>
      <c r="C51" s="35" t="s">
        <v>115</v>
      </c>
      <c r="D51" s="64">
        <v>30</v>
      </c>
      <c r="E51" s="63">
        <v>14000</v>
      </c>
      <c r="F51" s="64">
        <v>14000</v>
      </c>
      <c r="G51" s="63"/>
      <c r="H51" s="63">
        <v>0</v>
      </c>
      <c r="I51" s="64">
        <v>14000</v>
      </c>
      <c r="J51" s="63">
        <v>1</v>
      </c>
      <c r="K51" s="63">
        <v>0.5</v>
      </c>
    </row>
    <row r="52" spans="1:13" x14ac:dyDescent="0.35">
      <c r="A52" s="65">
        <v>48</v>
      </c>
      <c r="B52" s="65">
        <v>1778</v>
      </c>
      <c r="C52" s="37" t="s">
        <v>116</v>
      </c>
      <c r="D52" s="66">
        <v>30</v>
      </c>
      <c r="E52" s="65">
        <v>14000</v>
      </c>
      <c r="F52" s="66">
        <v>14000</v>
      </c>
      <c r="G52" s="65"/>
      <c r="H52" s="65">
        <v>0</v>
      </c>
      <c r="I52" s="66">
        <v>14000</v>
      </c>
      <c r="J52" s="65">
        <v>0</v>
      </c>
      <c r="K52" s="65">
        <v>0</v>
      </c>
      <c r="L52" s="60" t="s">
        <v>127</v>
      </c>
    </row>
    <row r="53" spans="1:13" s="60" customFormat="1" x14ac:dyDescent="0.35">
      <c r="A53" s="63">
        <v>49</v>
      </c>
      <c r="B53" s="63">
        <v>1850</v>
      </c>
      <c r="C53" s="35" t="s">
        <v>117</v>
      </c>
      <c r="D53" s="64">
        <v>18</v>
      </c>
      <c r="E53" s="63">
        <v>25000</v>
      </c>
      <c r="F53" s="64">
        <v>15000</v>
      </c>
      <c r="G53" s="63"/>
      <c r="H53" s="63">
        <v>0</v>
      </c>
      <c r="I53" s="64">
        <v>15000</v>
      </c>
      <c r="J53" s="63">
        <v>1</v>
      </c>
      <c r="K53" s="63">
        <v>0.5</v>
      </c>
      <c r="L53"/>
      <c r="M53"/>
    </row>
    <row r="54" spans="1:13" x14ac:dyDescent="0.35">
      <c r="A54" s="65">
        <v>50</v>
      </c>
      <c r="B54" s="65">
        <v>1868</v>
      </c>
      <c r="C54" s="37" t="s">
        <v>118</v>
      </c>
      <c r="D54" s="66">
        <v>22</v>
      </c>
      <c r="E54" s="65">
        <v>16000</v>
      </c>
      <c r="F54" s="66">
        <v>11733</v>
      </c>
      <c r="G54" s="65"/>
      <c r="H54" s="65">
        <v>0</v>
      </c>
      <c r="I54" s="66">
        <v>11733</v>
      </c>
      <c r="J54" s="65">
        <v>1</v>
      </c>
      <c r="K54" s="65">
        <v>0.5</v>
      </c>
      <c r="L54" s="60" t="s">
        <v>128</v>
      </c>
    </row>
    <row r="55" spans="1:13" x14ac:dyDescent="0.35">
      <c r="A55" s="65">
        <v>51</v>
      </c>
      <c r="B55" s="65" t="s">
        <v>120</v>
      </c>
      <c r="C55" s="37" t="s">
        <v>119</v>
      </c>
      <c r="D55" s="66">
        <v>7</v>
      </c>
      <c r="E55" s="65">
        <v>14000</v>
      </c>
      <c r="F55" s="66">
        <v>3267</v>
      </c>
      <c r="G55" s="65"/>
      <c r="H55" s="65">
        <v>0</v>
      </c>
      <c r="I55" s="66">
        <v>3267</v>
      </c>
      <c r="J55" s="65">
        <v>0</v>
      </c>
      <c r="K55" s="65">
        <v>0</v>
      </c>
      <c r="L55" s="60" t="s">
        <v>126</v>
      </c>
      <c r="M55" s="60"/>
    </row>
    <row r="56" spans="1:13" x14ac:dyDescent="0.35">
      <c r="F56">
        <f>SUM(F5:F55)</f>
        <v>849684</v>
      </c>
    </row>
    <row r="57" spans="1:13" x14ac:dyDescent="0.35">
      <c r="F57" t="s">
        <v>124</v>
      </c>
    </row>
  </sheetData>
  <mergeCells count="13">
    <mergeCell ref="A1:K1"/>
    <mergeCell ref="A2:K2"/>
    <mergeCell ref="J3:J4"/>
    <mergeCell ref="K3:K4"/>
    <mergeCell ref="F3:F4"/>
    <mergeCell ref="G3:G4"/>
    <mergeCell ref="A3:A4"/>
    <mergeCell ref="H3:H4"/>
    <mergeCell ref="I3:I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Vyze</vt:lpstr>
      <vt:lpstr>Adventa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2026-05-15T15:17:06Z</dcterms:modified>
</cp:coreProperties>
</file>