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in Pal\Desktop\"/>
    </mc:Choice>
  </mc:AlternateContent>
  <xr:revisionPtr revIDLastSave="0" documentId="11_AE5B0508C79856AD3043F49FC7D57D1C73DAE759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APR'26" sheetId="27" r:id="rId1"/>
    <sheet name="Sheet1" sheetId="28" r:id="rId2"/>
  </sheets>
  <definedNames>
    <definedName name="_xlnm._FilterDatabase" localSheetId="0" hidden="1">'APR''26'!$A$6:$AB$186</definedName>
    <definedName name="_xlnm.Print_Area" localSheetId="0">'APR''26'!$A$1:$Y$188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2" i="28" l="1"/>
  <c r="V192" i="28"/>
  <c r="R192" i="28"/>
  <c r="Q190" i="28"/>
  <c r="P190" i="28"/>
  <c r="O190" i="28"/>
  <c r="M190" i="28"/>
  <c r="N190" i="28" s="1"/>
  <c r="Q189" i="28"/>
  <c r="P189" i="28"/>
  <c r="O189" i="28"/>
  <c r="M189" i="28"/>
  <c r="N189" i="28" s="1"/>
  <c r="Q188" i="28"/>
  <c r="P188" i="28"/>
  <c r="O188" i="28"/>
  <c r="M188" i="28"/>
  <c r="N188" i="28" s="1"/>
  <c r="Q187" i="28"/>
  <c r="P187" i="28"/>
  <c r="O187" i="28"/>
  <c r="M187" i="28"/>
  <c r="N187" i="28" s="1"/>
  <c r="Q186" i="28"/>
  <c r="P186" i="28"/>
  <c r="O186" i="28"/>
  <c r="M186" i="28"/>
  <c r="N186" i="28" s="1"/>
  <c r="Q185" i="28"/>
  <c r="P185" i="28"/>
  <c r="O185" i="28"/>
  <c r="M185" i="28"/>
  <c r="N185" i="28" s="1"/>
  <c r="Q184" i="28"/>
  <c r="P184" i="28"/>
  <c r="O184" i="28"/>
  <c r="M184" i="28"/>
  <c r="N184" i="28" s="1"/>
  <c r="T183" i="28"/>
  <c r="X183" i="28" s="1"/>
  <c r="Q183" i="28"/>
  <c r="P183" i="28"/>
  <c r="O183" i="28"/>
  <c r="S183" i="28" s="1"/>
  <c r="Y183" i="28" s="1"/>
  <c r="M183" i="28"/>
  <c r="N183" i="28" s="1"/>
  <c r="X182" i="28"/>
  <c r="Q182" i="28"/>
  <c r="P182" i="28"/>
  <c r="O182" i="28"/>
  <c r="S182" i="28" s="1"/>
  <c r="Y182" i="28" s="1"/>
  <c r="M182" i="28"/>
  <c r="N182" i="28" s="1"/>
  <c r="X181" i="28"/>
  <c r="Q181" i="28"/>
  <c r="P181" i="28"/>
  <c r="O181" i="28"/>
  <c r="S181" i="28" s="1"/>
  <c r="Y181" i="28" s="1"/>
  <c r="M181" i="28"/>
  <c r="N181" i="28" s="1"/>
  <c r="Q180" i="28"/>
  <c r="P180" i="28"/>
  <c r="O180" i="28"/>
  <c r="M180" i="28"/>
  <c r="N180" i="28" s="1"/>
  <c r="Q179" i="28"/>
  <c r="P179" i="28"/>
  <c r="O179" i="28"/>
  <c r="M179" i="28"/>
  <c r="N179" i="28" s="1"/>
  <c r="Q178" i="28"/>
  <c r="P178" i="28"/>
  <c r="O178" i="28"/>
  <c r="M178" i="28"/>
  <c r="N178" i="28" s="1"/>
  <c r="Q177" i="28"/>
  <c r="P177" i="28"/>
  <c r="O177" i="28"/>
  <c r="M177" i="28"/>
  <c r="N177" i="28" s="1"/>
  <c r="Q176" i="28"/>
  <c r="P176" i="28"/>
  <c r="O176" i="28"/>
  <c r="M176" i="28"/>
  <c r="N176" i="28" s="1"/>
  <c r="Q175" i="28"/>
  <c r="P175" i="28"/>
  <c r="O175" i="28"/>
  <c r="M175" i="28"/>
  <c r="N175" i="28" s="1"/>
  <c r="Q174" i="28"/>
  <c r="P174" i="28"/>
  <c r="O174" i="28"/>
  <c r="M174" i="28"/>
  <c r="N174" i="28" s="1"/>
  <c r="Q173" i="28"/>
  <c r="P173" i="28"/>
  <c r="O173" i="28"/>
  <c r="M173" i="28"/>
  <c r="N173" i="28" s="1"/>
  <c r="Q172" i="28"/>
  <c r="P172" i="28"/>
  <c r="O172" i="28"/>
  <c r="M172" i="28"/>
  <c r="N172" i="28" s="1"/>
  <c r="Q171" i="28"/>
  <c r="P171" i="28"/>
  <c r="O171" i="28"/>
  <c r="M171" i="28"/>
  <c r="N171" i="28" s="1"/>
  <c r="Q170" i="28"/>
  <c r="P170" i="28"/>
  <c r="O170" i="28"/>
  <c r="M170" i="28"/>
  <c r="N170" i="28" s="1"/>
  <c r="Q169" i="28"/>
  <c r="P169" i="28"/>
  <c r="O169" i="28"/>
  <c r="M169" i="28"/>
  <c r="N169" i="28" s="1"/>
  <c r="Q168" i="28"/>
  <c r="P168" i="28"/>
  <c r="O168" i="28"/>
  <c r="M168" i="28"/>
  <c r="N168" i="28" s="1"/>
  <c r="Q167" i="28"/>
  <c r="P167" i="28"/>
  <c r="O167" i="28"/>
  <c r="M167" i="28"/>
  <c r="N167" i="28" s="1"/>
  <c r="Q166" i="28"/>
  <c r="P166" i="28"/>
  <c r="O166" i="28"/>
  <c r="M166" i="28"/>
  <c r="N166" i="28" s="1"/>
  <c r="Q165" i="28"/>
  <c r="P165" i="28"/>
  <c r="O165" i="28"/>
  <c r="M165" i="28"/>
  <c r="N165" i="28" s="1"/>
  <c r="Q164" i="28"/>
  <c r="P164" i="28"/>
  <c r="O164" i="28"/>
  <c r="M164" i="28"/>
  <c r="N164" i="28" s="1"/>
  <c r="Q163" i="28"/>
  <c r="P163" i="28"/>
  <c r="O163" i="28"/>
  <c r="M163" i="28"/>
  <c r="N163" i="28" s="1"/>
  <c r="Q162" i="28"/>
  <c r="P162" i="28"/>
  <c r="O162" i="28"/>
  <c r="M162" i="28"/>
  <c r="N162" i="28" s="1"/>
  <c r="Q161" i="28"/>
  <c r="P161" i="28"/>
  <c r="O161" i="28"/>
  <c r="M161" i="28"/>
  <c r="N161" i="28" s="1"/>
  <c r="Q160" i="28"/>
  <c r="P160" i="28"/>
  <c r="O160" i="28"/>
  <c r="M160" i="28"/>
  <c r="N160" i="28" s="1"/>
  <c r="Q159" i="28"/>
  <c r="P159" i="28"/>
  <c r="O159" i="28"/>
  <c r="M159" i="28"/>
  <c r="N159" i="28" s="1"/>
  <c r="Q158" i="28"/>
  <c r="P158" i="28"/>
  <c r="O158" i="28"/>
  <c r="M158" i="28"/>
  <c r="N158" i="28" s="1"/>
  <c r="Q157" i="28"/>
  <c r="P157" i="28"/>
  <c r="O157" i="28"/>
  <c r="M157" i="28"/>
  <c r="N157" i="28" s="1"/>
  <c r="Q156" i="28"/>
  <c r="P156" i="28"/>
  <c r="O156" i="28"/>
  <c r="M156" i="28"/>
  <c r="N156" i="28" s="1"/>
  <c r="Q155" i="28"/>
  <c r="P155" i="28"/>
  <c r="O155" i="28"/>
  <c r="M155" i="28"/>
  <c r="N155" i="28" s="1"/>
  <c r="Q154" i="28"/>
  <c r="P154" i="28"/>
  <c r="O154" i="28"/>
  <c r="M154" i="28"/>
  <c r="N154" i="28" s="1"/>
  <c r="Q153" i="28"/>
  <c r="P153" i="28"/>
  <c r="O153" i="28"/>
  <c r="M153" i="28"/>
  <c r="N153" i="28" s="1"/>
  <c r="Q152" i="28"/>
  <c r="P152" i="28"/>
  <c r="O152" i="28"/>
  <c r="M152" i="28"/>
  <c r="N152" i="28" s="1"/>
  <c r="Q151" i="28"/>
  <c r="P151" i="28"/>
  <c r="O151" i="28"/>
  <c r="M151" i="28"/>
  <c r="N151" i="28" s="1"/>
  <c r="Q150" i="28"/>
  <c r="P150" i="28"/>
  <c r="O150" i="28"/>
  <c r="M150" i="28"/>
  <c r="N150" i="28" s="1"/>
  <c r="Q149" i="28"/>
  <c r="P149" i="28"/>
  <c r="O149" i="28"/>
  <c r="M149" i="28"/>
  <c r="N149" i="28" s="1"/>
  <c r="Q148" i="28"/>
  <c r="P148" i="28"/>
  <c r="O148" i="28"/>
  <c r="M148" i="28"/>
  <c r="N148" i="28" s="1"/>
  <c r="Q147" i="28"/>
  <c r="P147" i="28"/>
  <c r="O147" i="28"/>
  <c r="M147" i="28"/>
  <c r="N147" i="28" s="1"/>
  <c r="Q146" i="28"/>
  <c r="P146" i="28"/>
  <c r="O146" i="28"/>
  <c r="M146" i="28"/>
  <c r="N146" i="28" s="1"/>
  <c r="Q145" i="28"/>
  <c r="P145" i="28"/>
  <c r="O145" i="28"/>
  <c r="M145" i="28"/>
  <c r="N145" i="28" s="1"/>
  <c r="Q144" i="28"/>
  <c r="P144" i="28"/>
  <c r="O144" i="28"/>
  <c r="M144" i="28"/>
  <c r="N144" i="28" s="1"/>
  <c r="Q143" i="28"/>
  <c r="P143" i="28"/>
  <c r="O143" i="28"/>
  <c r="M143" i="28"/>
  <c r="N143" i="28" s="1"/>
  <c r="Q142" i="28"/>
  <c r="P142" i="28"/>
  <c r="O142" i="28"/>
  <c r="M142" i="28"/>
  <c r="N142" i="28" s="1"/>
  <c r="Q141" i="28"/>
  <c r="P141" i="28"/>
  <c r="O141" i="28"/>
  <c r="M141" i="28"/>
  <c r="N141" i="28" s="1"/>
  <c r="Q140" i="28"/>
  <c r="P140" i="28"/>
  <c r="O140" i="28"/>
  <c r="M140" i="28"/>
  <c r="N140" i="28" s="1"/>
  <c r="Q139" i="28"/>
  <c r="P139" i="28"/>
  <c r="O139" i="28"/>
  <c r="M139" i="28"/>
  <c r="N139" i="28" s="1"/>
  <c r="Q138" i="28"/>
  <c r="P138" i="28"/>
  <c r="O138" i="28"/>
  <c r="M138" i="28"/>
  <c r="N138" i="28" s="1"/>
  <c r="Q137" i="28"/>
  <c r="P137" i="28"/>
  <c r="O137" i="28"/>
  <c r="M137" i="28"/>
  <c r="N137" i="28" s="1"/>
  <c r="Q136" i="28"/>
  <c r="P136" i="28"/>
  <c r="O136" i="28"/>
  <c r="M136" i="28"/>
  <c r="N136" i="28" s="1"/>
  <c r="Q135" i="28"/>
  <c r="P135" i="28"/>
  <c r="O135" i="28"/>
  <c r="M135" i="28"/>
  <c r="N135" i="28" s="1"/>
  <c r="Q134" i="28"/>
  <c r="P134" i="28"/>
  <c r="O134" i="28"/>
  <c r="M134" i="28"/>
  <c r="N134" i="28" s="1"/>
  <c r="Q133" i="28"/>
  <c r="P133" i="28"/>
  <c r="O133" i="28"/>
  <c r="M133" i="28"/>
  <c r="N133" i="28" s="1"/>
  <c r="Q132" i="28"/>
  <c r="P132" i="28"/>
  <c r="O132" i="28"/>
  <c r="M132" i="28"/>
  <c r="N132" i="28" s="1"/>
  <c r="Q131" i="28"/>
  <c r="P131" i="28"/>
  <c r="O131" i="28"/>
  <c r="M131" i="28"/>
  <c r="N131" i="28" s="1"/>
  <c r="Q130" i="28"/>
  <c r="P130" i="28"/>
  <c r="O130" i="28"/>
  <c r="M130" i="28"/>
  <c r="N130" i="28" s="1"/>
  <c r="Q129" i="28"/>
  <c r="P129" i="28"/>
  <c r="O129" i="28"/>
  <c r="M129" i="28"/>
  <c r="N129" i="28" s="1"/>
  <c r="Q128" i="28"/>
  <c r="P128" i="28"/>
  <c r="O128" i="28"/>
  <c r="M128" i="28"/>
  <c r="N128" i="28" s="1"/>
  <c r="Q127" i="28"/>
  <c r="P127" i="28"/>
  <c r="O127" i="28"/>
  <c r="M127" i="28"/>
  <c r="N127" i="28" s="1"/>
  <c r="Q126" i="28"/>
  <c r="P126" i="28"/>
  <c r="O126" i="28"/>
  <c r="M126" i="28"/>
  <c r="N126" i="28" s="1"/>
  <c r="Q125" i="28"/>
  <c r="P125" i="28"/>
  <c r="O125" i="28"/>
  <c r="M125" i="28"/>
  <c r="N125" i="28" s="1"/>
  <c r="Q124" i="28"/>
  <c r="P124" i="28"/>
  <c r="O124" i="28"/>
  <c r="M124" i="28"/>
  <c r="N124" i="28" s="1"/>
  <c r="Q123" i="28"/>
  <c r="P123" i="28"/>
  <c r="O123" i="28"/>
  <c r="M123" i="28"/>
  <c r="N123" i="28" s="1"/>
  <c r="Q122" i="28"/>
  <c r="P122" i="28"/>
  <c r="O122" i="28"/>
  <c r="M122" i="28"/>
  <c r="N122" i="28" s="1"/>
  <c r="Q121" i="28"/>
  <c r="P121" i="28"/>
  <c r="O121" i="28"/>
  <c r="M121" i="28"/>
  <c r="N121" i="28" s="1"/>
  <c r="Q120" i="28"/>
  <c r="P120" i="28"/>
  <c r="O120" i="28"/>
  <c r="M120" i="28"/>
  <c r="N120" i="28" s="1"/>
  <c r="Q119" i="28"/>
  <c r="P119" i="28"/>
  <c r="O119" i="28"/>
  <c r="M119" i="28"/>
  <c r="N119" i="28" s="1"/>
  <c r="Q118" i="28"/>
  <c r="P118" i="28"/>
  <c r="O118" i="28"/>
  <c r="M118" i="28"/>
  <c r="N118" i="28" s="1"/>
  <c r="Q117" i="28"/>
  <c r="P117" i="28"/>
  <c r="O117" i="28"/>
  <c r="M117" i="28"/>
  <c r="N117" i="28" s="1"/>
  <c r="Q116" i="28"/>
  <c r="P116" i="28"/>
  <c r="O116" i="28"/>
  <c r="M116" i="28"/>
  <c r="N116" i="28" s="1"/>
  <c r="Q115" i="28"/>
  <c r="P115" i="28"/>
  <c r="O115" i="28"/>
  <c r="M115" i="28"/>
  <c r="N115" i="28" s="1"/>
  <c r="Q114" i="28"/>
  <c r="P114" i="28"/>
  <c r="O114" i="28"/>
  <c r="M114" i="28"/>
  <c r="N114" i="28" s="1"/>
  <c r="Q113" i="28"/>
  <c r="P113" i="28"/>
  <c r="O113" i="28"/>
  <c r="M113" i="28"/>
  <c r="N113" i="28" s="1"/>
  <c r="X112" i="28"/>
  <c r="Q112" i="28"/>
  <c r="P112" i="28"/>
  <c r="O112" i="28"/>
  <c r="S112" i="28" s="1"/>
  <c r="Y112" i="28" s="1"/>
  <c r="M112" i="28"/>
  <c r="N112" i="28" s="1"/>
  <c r="Q111" i="28"/>
  <c r="P111" i="28"/>
  <c r="O111" i="28"/>
  <c r="M111" i="28"/>
  <c r="N111" i="28" s="1"/>
  <c r="Q110" i="28"/>
  <c r="P110" i="28"/>
  <c r="O110" i="28"/>
  <c r="M110" i="28"/>
  <c r="N110" i="28" s="1"/>
  <c r="Q109" i="28"/>
  <c r="P109" i="28"/>
  <c r="O109" i="28"/>
  <c r="M109" i="28"/>
  <c r="N109" i="28" s="1"/>
  <c r="Q108" i="28"/>
  <c r="P108" i="28"/>
  <c r="O108" i="28"/>
  <c r="M108" i="28"/>
  <c r="N108" i="28" s="1"/>
  <c r="T107" i="28"/>
  <c r="X107" i="28" s="1"/>
  <c r="Q107" i="28"/>
  <c r="P107" i="28"/>
  <c r="O107" i="28"/>
  <c r="S107" i="28" s="1"/>
  <c r="Y107" i="28" s="1"/>
  <c r="M107" i="28"/>
  <c r="N107" i="28" s="1"/>
  <c r="Q106" i="28"/>
  <c r="P106" i="28"/>
  <c r="O106" i="28"/>
  <c r="M106" i="28"/>
  <c r="N106" i="28" s="1"/>
  <c r="Q105" i="28"/>
  <c r="P105" i="28"/>
  <c r="O105" i="28"/>
  <c r="M105" i="28"/>
  <c r="N105" i="28" s="1"/>
  <c r="Q104" i="28"/>
  <c r="P104" i="28"/>
  <c r="O104" i="28"/>
  <c r="M104" i="28"/>
  <c r="N104" i="28" s="1"/>
  <c r="Q103" i="28"/>
  <c r="P103" i="28"/>
  <c r="O103" i="28"/>
  <c r="M103" i="28"/>
  <c r="N103" i="28" s="1"/>
  <c r="Q102" i="28"/>
  <c r="P102" i="28"/>
  <c r="O102" i="28"/>
  <c r="M102" i="28"/>
  <c r="N102" i="28" s="1"/>
  <c r="Q101" i="28"/>
  <c r="P101" i="28"/>
  <c r="O101" i="28"/>
  <c r="M101" i="28"/>
  <c r="N101" i="28" s="1"/>
  <c r="Q100" i="28"/>
  <c r="P100" i="28"/>
  <c r="O100" i="28"/>
  <c r="M100" i="28"/>
  <c r="N100" i="28" s="1"/>
  <c r="Q99" i="28"/>
  <c r="P99" i="28"/>
  <c r="O99" i="28"/>
  <c r="M99" i="28"/>
  <c r="N99" i="28" s="1"/>
  <c r="Q98" i="28"/>
  <c r="P98" i="28"/>
  <c r="O98" i="28"/>
  <c r="M98" i="28"/>
  <c r="N98" i="28" s="1"/>
  <c r="Q97" i="28"/>
  <c r="P97" i="28"/>
  <c r="O97" i="28"/>
  <c r="M97" i="28"/>
  <c r="N97" i="28" s="1"/>
  <c r="Q96" i="28"/>
  <c r="P96" i="28"/>
  <c r="O96" i="28"/>
  <c r="M96" i="28"/>
  <c r="N96" i="28" s="1"/>
  <c r="Q95" i="28"/>
  <c r="P95" i="28"/>
  <c r="O95" i="28"/>
  <c r="M95" i="28"/>
  <c r="N95" i="28" s="1"/>
  <c r="T94" i="28"/>
  <c r="X94" i="28" s="1"/>
  <c r="Q94" i="28"/>
  <c r="P94" i="28"/>
  <c r="O94" i="28"/>
  <c r="S94" i="28" s="1"/>
  <c r="Y94" i="28" s="1"/>
  <c r="M94" i="28"/>
  <c r="N94" i="28" s="1"/>
  <c r="T93" i="28"/>
  <c r="X93" i="28" s="1"/>
  <c r="Q93" i="28"/>
  <c r="P93" i="28"/>
  <c r="O93" i="28"/>
  <c r="S93" i="28" s="1"/>
  <c r="Y93" i="28" s="1"/>
  <c r="M93" i="28"/>
  <c r="N93" i="28" s="1"/>
  <c r="Q92" i="28"/>
  <c r="P92" i="28"/>
  <c r="O92" i="28"/>
  <c r="M92" i="28"/>
  <c r="N92" i="28" s="1"/>
  <c r="Q91" i="28"/>
  <c r="P91" i="28"/>
  <c r="O91" i="28"/>
  <c r="M91" i="28"/>
  <c r="N91" i="28" s="1"/>
  <c r="Q90" i="28"/>
  <c r="P90" i="28"/>
  <c r="O90" i="28"/>
  <c r="M90" i="28"/>
  <c r="N90" i="28" s="1"/>
  <c r="T89" i="28"/>
  <c r="X89" i="28" s="1"/>
  <c r="Q89" i="28"/>
  <c r="P89" i="28"/>
  <c r="O89" i="28"/>
  <c r="S89" i="28" s="1"/>
  <c r="Y89" i="28" s="1"/>
  <c r="M89" i="28"/>
  <c r="N89" i="28" s="1"/>
  <c r="Q88" i="28"/>
  <c r="P88" i="28"/>
  <c r="O88" i="28"/>
  <c r="M88" i="28"/>
  <c r="N88" i="28" s="1"/>
  <c r="Q87" i="28"/>
  <c r="P87" i="28"/>
  <c r="O87" i="28"/>
  <c r="M87" i="28"/>
  <c r="N87" i="28" s="1"/>
  <c r="Q86" i="28"/>
  <c r="P86" i="28"/>
  <c r="O86" i="28"/>
  <c r="M86" i="28"/>
  <c r="N86" i="28" s="1"/>
  <c r="Q85" i="28"/>
  <c r="P85" i="28"/>
  <c r="O85" i="28"/>
  <c r="M85" i="28"/>
  <c r="N85" i="28" s="1"/>
  <c r="T84" i="28"/>
  <c r="X84" i="28" s="1"/>
  <c r="Q84" i="28"/>
  <c r="P84" i="28"/>
  <c r="O84" i="28"/>
  <c r="S84" i="28" s="1"/>
  <c r="Y84" i="28" s="1"/>
  <c r="M84" i="28"/>
  <c r="N84" i="28" s="1"/>
  <c r="X83" i="28"/>
  <c r="Q83" i="28"/>
  <c r="P83" i="28"/>
  <c r="O83" i="28"/>
  <c r="S83" i="28" s="1"/>
  <c r="Y83" i="28" s="1"/>
  <c r="M83" i="28"/>
  <c r="N83" i="28" s="1"/>
  <c r="Q82" i="28"/>
  <c r="P82" i="28"/>
  <c r="O82" i="28"/>
  <c r="M82" i="28"/>
  <c r="N82" i="28" s="1"/>
  <c r="Q81" i="28"/>
  <c r="P81" i="28"/>
  <c r="O81" i="28"/>
  <c r="M81" i="28"/>
  <c r="N81" i="28" s="1"/>
  <c r="T80" i="28"/>
  <c r="X80" i="28" s="1"/>
  <c r="Q80" i="28"/>
  <c r="P80" i="28"/>
  <c r="O80" i="28"/>
  <c r="S80" i="28" s="1"/>
  <c r="Y80" i="28" s="1"/>
  <c r="M80" i="28"/>
  <c r="N80" i="28" s="1"/>
  <c r="T79" i="28"/>
  <c r="X79" i="28" s="1"/>
  <c r="Q79" i="28"/>
  <c r="P79" i="28"/>
  <c r="O79" i="28"/>
  <c r="S79" i="28" s="1"/>
  <c r="Y79" i="28" s="1"/>
  <c r="M79" i="28"/>
  <c r="N79" i="28" s="1"/>
  <c r="T78" i="28"/>
  <c r="X78" i="28" s="1"/>
  <c r="Q78" i="28"/>
  <c r="P78" i="28"/>
  <c r="O78" i="28"/>
  <c r="S78" i="28" s="1"/>
  <c r="Y78" i="28" s="1"/>
  <c r="M78" i="28"/>
  <c r="N78" i="28" s="1"/>
  <c r="X77" i="28"/>
  <c r="Q77" i="28"/>
  <c r="P77" i="28"/>
  <c r="O77" i="28"/>
  <c r="S77" i="28" s="1"/>
  <c r="Y77" i="28" s="1"/>
  <c r="M77" i="28"/>
  <c r="N77" i="28" s="1"/>
  <c r="T76" i="28"/>
  <c r="X76" i="28" s="1"/>
  <c r="Q76" i="28"/>
  <c r="P76" i="28"/>
  <c r="O76" i="28"/>
  <c r="S76" i="28" s="1"/>
  <c r="Y76" i="28" s="1"/>
  <c r="M76" i="28"/>
  <c r="N76" i="28" s="1"/>
  <c r="T75" i="28"/>
  <c r="X75" i="28" s="1"/>
  <c r="Q75" i="28"/>
  <c r="P75" i="28"/>
  <c r="O75" i="28"/>
  <c r="S75" i="28" s="1"/>
  <c r="Y75" i="28" s="1"/>
  <c r="M75" i="28"/>
  <c r="N75" i="28" s="1"/>
  <c r="X74" i="28"/>
  <c r="Q74" i="28"/>
  <c r="P74" i="28"/>
  <c r="O74" i="28"/>
  <c r="S74" i="28" s="1"/>
  <c r="Y74" i="28" s="1"/>
  <c r="M74" i="28"/>
  <c r="N74" i="28" s="1"/>
  <c r="T73" i="28"/>
  <c r="X73" i="28" s="1"/>
  <c r="Q73" i="28"/>
  <c r="P73" i="28"/>
  <c r="O73" i="28"/>
  <c r="M73" i="28"/>
  <c r="N73" i="28" s="1"/>
  <c r="T72" i="28"/>
  <c r="X72" i="28" s="1"/>
  <c r="Q72" i="28"/>
  <c r="P72" i="28"/>
  <c r="O72" i="28"/>
  <c r="M72" i="28"/>
  <c r="N72" i="28" s="1"/>
  <c r="X71" i="28"/>
  <c r="Q71" i="28"/>
  <c r="P71" i="28"/>
  <c r="O71" i="28"/>
  <c r="M71" i="28"/>
  <c r="N71" i="28" s="1"/>
  <c r="T70" i="28"/>
  <c r="X70" i="28" s="1"/>
  <c r="Q70" i="28"/>
  <c r="P70" i="28"/>
  <c r="O70" i="28"/>
  <c r="M70" i="28"/>
  <c r="N70" i="28" s="1"/>
  <c r="Q69" i="28"/>
  <c r="P69" i="28"/>
  <c r="O69" i="28"/>
  <c r="M69" i="28"/>
  <c r="N69" i="28" s="1"/>
  <c r="T68" i="28"/>
  <c r="X68" i="28" s="1"/>
  <c r="Q68" i="28"/>
  <c r="P68" i="28"/>
  <c r="O68" i="28"/>
  <c r="S68" i="28" s="1"/>
  <c r="Y68" i="28" s="1"/>
  <c r="M68" i="28"/>
  <c r="N68" i="28" s="1"/>
  <c r="T67" i="28"/>
  <c r="X67" i="28" s="1"/>
  <c r="Q67" i="28"/>
  <c r="P67" i="28"/>
  <c r="O67" i="28"/>
  <c r="S67" i="28" s="1"/>
  <c r="Y67" i="28" s="1"/>
  <c r="M67" i="28"/>
  <c r="N67" i="28" s="1"/>
  <c r="X66" i="28"/>
  <c r="Q66" i="28"/>
  <c r="P66" i="28"/>
  <c r="O66" i="28"/>
  <c r="S66" i="28" s="1"/>
  <c r="Y66" i="28" s="1"/>
  <c r="M66" i="28"/>
  <c r="N66" i="28" s="1"/>
  <c r="Q65" i="28"/>
  <c r="P65" i="28"/>
  <c r="O65" i="28"/>
  <c r="M65" i="28"/>
  <c r="N65" i="28" s="1"/>
  <c r="Q64" i="28"/>
  <c r="P64" i="28"/>
  <c r="O64" i="28"/>
  <c r="M64" i="28"/>
  <c r="N64" i="28" s="1"/>
  <c r="T63" i="28"/>
  <c r="X63" i="28" s="1"/>
  <c r="Q63" i="28"/>
  <c r="P63" i="28"/>
  <c r="O63" i="28"/>
  <c r="S63" i="28" s="1"/>
  <c r="Y63" i="28" s="1"/>
  <c r="M63" i="28"/>
  <c r="N63" i="28" s="1"/>
  <c r="T62" i="28"/>
  <c r="X62" i="28" s="1"/>
  <c r="Q62" i="28"/>
  <c r="P62" i="28"/>
  <c r="O62" i="28"/>
  <c r="S62" i="28" s="1"/>
  <c r="Y62" i="28" s="1"/>
  <c r="M62" i="28"/>
  <c r="N62" i="28" s="1"/>
  <c r="Q61" i="28"/>
  <c r="P61" i="28"/>
  <c r="O61" i="28"/>
  <c r="M61" i="28"/>
  <c r="N61" i="28" s="1"/>
  <c r="Q60" i="28"/>
  <c r="P60" i="28"/>
  <c r="O60" i="28"/>
  <c r="M60" i="28"/>
  <c r="N60" i="28" s="1"/>
  <c r="T59" i="28"/>
  <c r="X59" i="28" s="1"/>
  <c r="Q59" i="28"/>
  <c r="P59" i="28"/>
  <c r="O59" i="28"/>
  <c r="S59" i="28" s="1"/>
  <c r="Y59" i="28" s="1"/>
  <c r="M59" i="28"/>
  <c r="N59" i="28" s="1"/>
  <c r="T58" i="28"/>
  <c r="X58" i="28" s="1"/>
  <c r="Q58" i="28"/>
  <c r="P58" i="28"/>
  <c r="O58" i="28"/>
  <c r="S58" i="28" s="1"/>
  <c r="M58" i="28"/>
  <c r="N58" i="28" s="1"/>
  <c r="T57" i="28"/>
  <c r="X57" i="28" s="1"/>
  <c r="Q57" i="28"/>
  <c r="P57" i="28"/>
  <c r="O57" i="28"/>
  <c r="S57" i="28" s="1"/>
  <c r="Y57" i="28" s="1"/>
  <c r="M57" i="28"/>
  <c r="N57" i="28" s="1"/>
  <c r="T56" i="28"/>
  <c r="X56" i="28" s="1"/>
  <c r="Q56" i="28"/>
  <c r="P56" i="28"/>
  <c r="O56" i="28"/>
  <c r="S56" i="28" s="1"/>
  <c r="Y56" i="28" s="1"/>
  <c r="M56" i="28"/>
  <c r="N56" i="28" s="1"/>
  <c r="Q55" i="28"/>
  <c r="P55" i="28"/>
  <c r="O55" i="28"/>
  <c r="M55" i="28"/>
  <c r="N55" i="28" s="1"/>
  <c r="Q54" i="28"/>
  <c r="P54" i="28"/>
  <c r="O54" i="28"/>
  <c r="M54" i="28"/>
  <c r="N54" i="28" s="1"/>
  <c r="X53" i="28"/>
  <c r="Q53" i="28"/>
  <c r="P53" i="28"/>
  <c r="O53" i="28"/>
  <c r="S53" i="28" s="1"/>
  <c r="Y53" i="28" s="1"/>
  <c r="M53" i="28"/>
  <c r="N53" i="28" s="1"/>
  <c r="X52" i="28"/>
  <c r="Q52" i="28"/>
  <c r="P52" i="28"/>
  <c r="O52" i="28"/>
  <c r="S52" i="28" s="1"/>
  <c r="Y52" i="28" s="1"/>
  <c r="M52" i="28"/>
  <c r="N52" i="28" s="1"/>
  <c r="T51" i="28"/>
  <c r="X51" i="28" s="1"/>
  <c r="Q51" i="28"/>
  <c r="P51" i="28"/>
  <c r="O51" i="28"/>
  <c r="S51" i="28" s="1"/>
  <c r="Y51" i="28" s="1"/>
  <c r="M51" i="28"/>
  <c r="N51" i="28" s="1"/>
  <c r="Q50" i="28"/>
  <c r="P50" i="28"/>
  <c r="O50" i="28"/>
  <c r="M50" i="28"/>
  <c r="N50" i="28" s="1"/>
  <c r="Q49" i="28"/>
  <c r="P49" i="28"/>
  <c r="O49" i="28"/>
  <c r="M49" i="28"/>
  <c r="N49" i="28" s="1"/>
  <c r="Q48" i="28"/>
  <c r="P48" i="28"/>
  <c r="O48" i="28"/>
  <c r="M48" i="28"/>
  <c r="N48" i="28" s="1"/>
  <c r="T47" i="28"/>
  <c r="X47" i="28" s="1"/>
  <c r="Q47" i="28"/>
  <c r="P47" i="28"/>
  <c r="O47" i="28"/>
  <c r="S47" i="28" s="1"/>
  <c r="Y47" i="28" s="1"/>
  <c r="M47" i="28"/>
  <c r="N47" i="28" s="1"/>
  <c r="T46" i="28"/>
  <c r="X46" i="28" s="1"/>
  <c r="Q46" i="28"/>
  <c r="P46" i="28"/>
  <c r="O46" i="28"/>
  <c r="M46" i="28"/>
  <c r="N46" i="28" s="1"/>
  <c r="T45" i="28"/>
  <c r="X45" i="28" s="1"/>
  <c r="Q45" i="28"/>
  <c r="P45" i="28"/>
  <c r="O45" i="28"/>
  <c r="S45" i="28" s="1"/>
  <c r="Y45" i="28" s="1"/>
  <c r="M45" i="28"/>
  <c r="N45" i="28" s="1"/>
  <c r="T44" i="28"/>
  <c r="X44" i="28" s="1"/>
  <c r="Q44" i="28"/>
  <c r="P44" i="28"/>
  <c r="O44" i="28"/>
  <c r="M44" i="28"/>
  <c r="N44" i="28" s="1"/>
  <c r="T43" i="28"/>
  <c r="X43" i="28" s="1"/>
  <c r="Q43" i="28"/>
  <c r="P43" i="28"/>
  <c r="O43" i="28"/>
  <c r="S43" i="28" s="1"/>
  <c r="Y43" i="28" s="1"/>
  <c r="M43" i="28"/>
  <c r="N43" i="28" s="1"/>
  <c r="X42" i="28"/>
  <c r="Q42" i="28"/>
  <c r="P42" i="28"/>
  <c r="O42" i="28"/>
  <c r="S42" i="28" s="1"/>
  <c r="Y42" i="28" s="1"/>
  <c r="M42" i="28"/>
  <c r="N42" i="28" s="1"/>
  <c r="X41" i="28"/>
  <c r="Q41" i="28"/>
  <c r="P41" i="28"/>
  <c r="O41" i="28"/>
  <c r="S41" i="28" s="1"/>
  <c r="Y41" i="28" s="1"/>
  <c r="M41" i="28"/>
  <c r="N41" i="28" s="1"/>
  <c r="X40" i="28"/>
  <c r="Q40" i="28"/>
  <c r="P40" i="28"/>
  <c r="O40" i="28"/>
  <c r="S40" i="28" s="1"/>
  <c r="Y40" i="28" s="1"/>
  <c r="M40" i="28"/>
  <c r="N40" i="28" s="1"/>
  <c r="X39" i="28"/>
  <c r="Q39" i="28"/>
  <c r="P39" i="28"/>
  <c r="O39" i="28"/>
  <c r="M39" i="28"/>
  <c r="N39" i="28" s="1"/>
  <c r="T38" i="28"/>
  <c r="X38" i="28" s="1"/>
  <c r="Q38" i="28"/>
  <c r="P38" i="28"/>
  <c r="O38" i="28"/>
  <c r="S38" i="28" s="1"/>
  <c r="Y38" i="28" s="1"/>
  <c r="M38" i="28"/>
  <c r="N38" i="28" s="1"/>
  <c r="T37" i="28"/>
  <c r="X37" i="28" s="1"/>
  <c r="Q37" i="28"/>
  <c r="P37" i="28"/>
  <c r="O37" i="28"/>
  <c r="S37" i="28" s="1"/>
  <c r="Y37" i="28" s="1"/>
  <c r="M37" i="28"/>
  <c r="N37" i="28" s="1"/>
  <c r="T36" i="28"/>
  <c r="X36" i="28" s="1"/>
  <c r="Q36" i="28"/>
  <c r="P36" i="28"/>
  <c r="O36" i="28"/>
  <c r="S36" i="28" s="1"/>
  <c r="Y36" i="28" s="1"/>
  <c r="M36" i="28"/>
  <c r="N36" i="28" s="1"/>
  <c r="X35" i="28"/>
  <c r="Q35" i="28"/>
  <c r="P35" i="28"/>
  <c r="O35" i="28"/>
  <c r="S35" i="28" s="1"/>
  <c r="Y35" i="28" s="1"/>
  <c r="M35" i="28"/>
  <c r="N35" i="28" s="1"/>
  <c r="X34" i="28"/>
  <c r="Q34" i="28"/>
  <c r="P34" i="28"/>
  <c r="O34" i="28"/>
  <c r="M34" i="28"/>
  <c r="N34" i="28" s="1"/>
  <c r="X33" i="28"/>
  <c r="Q33" i="28"/>
  <c r="P33" i="28"/>
  <c r="O33" i="28"/>
  <c r="S33" i="28" s="1"/>
  <c r="Y33" i="28" s="1"/>
  <c r="M33" i="28"/>
  <c r="N33" i="28" s="1"/>
  <c r="X32" i="28"/>
  <c r="Q32" i="28"/>
  <c r="P32" i="28"/>
  <c r="O32" i="28"/>
  <c r="S32" i="28" s="1"/>
  <c r="Y32" i="28" s="1"/>
  <c r="M32" i="28"/>
  <c r="N32" i="28" s="1"/>
  <c r="X31" i="28"/>
  <c r="Q31" i="28"/>
  <c r="P31" i="28"/>
  <c r="O31" i="28"/>
  <c r="S31" i="28" s="1"/>
  <c r="Y31" i="28" s="1"/>
  <c r="M31" i="28"/>
  <c r="N31" i="28" s="1"/>
  <c r="T30" i="28"/>
  <c r="X30" i="28" s="1"/>
  <c r="Q30" i="28"/>
  <c r="P30" i="28"/>
  <c r="O30" i="28"/>
  <c r="M30" i="28"/>
  <c r="N30" i="28" s="1"/>
  <c r="T29" i="28"/>
  <c r="X29" i="28" s="1"/>
  <c r="Q29" i="28"/>
  <c r="P29" i="28"/>
  <c r="O29" i="28"/>
  <c r="S29" i="28" s="1"/>
  <c r="Y29" i="28" s="1"/>
  <c r="M29" i="28"/>
  <c r="N29" i="28" s="1"/>
  <c r="T28" i="28"/>
  <c r="X28" i="28" s="1"/>
  <c r="Q28" i="28"/>
  <c r="P28" i="28"/>
  <c r="O28" i="28"/>
  <c r="M28" i="28"/>
  <c r="N28" i="28" s="1"/>
  <c r="T27" i="28"/>
  <c r="X27" i="28" s="1"/>
  <c r="Q27" i="28"/>
  <c r="P27" i="28"/>
  <c r="O27" i="28"/>
  <c r="S27" i="28" s="1"/>
  <c r="Y27" i="28" s="1"/>
  <c r="M27" i="28"/>
  <c r="N27" i="28" s="1"/>
  <c r="Q26" i="28"/>
  <c r="P26" i="28"/>
  <c r="O26" i="28"/>
  <c r="M26" i="28"/>
  <c r="N26" i="28" s="1"/>
  <c r="T25" i="28"/>
  <c r="X25" i="28" s="1"/>
  <c r="Q25" i="28"/>
  <c r="P25" i="28"/>
  <c r="O25" i="28"/>
  <c r="S25" i="28" s="1"/>
  <c r="M25" i="28"/>
  <c r="N25" i="28" s="1"/>
  <c r="T24" i="28"/>
  <c r="X24" i="28" s="1"/>
  <c r="Q24" i="28"/>
  <c r="P24" i="28"/>
  <c r="O24" i="28"/>
  <c r="M24" i="28"/>
  <c r="N24" i="28" s="1"/>
  <c r="T23" i="28"/>
  <c r="X23" i="28" s="1"/>
  <c r="Q23" i="28"/>
  <c r="P23" i="28"/>
  <c r="O23" i="28"/>
  <c r="S23" i="28" s="1"/>
  <c r="Y23" i="28" s="1"/>
  <c r="M23" i="28"/>
  <c r="N23" i="28" s="1"/>
  <c r="T22" i="28"/>
  <c r="X22" i="28" s="1"/>
  <c r="Q22" i="28"/>
  <c r="P22" i="28"/>
  <c r="O22" i="28"/>
  <c r="S22" i="28" s="1"/>
  <c r="Y22" i="28" s="1"/>
  <c r="M22" i="28"/>
  <c r="N22" i="28" s="1"/>
  <c r="T21" i="28"/>
  <c r="X21" i="28" s="1"/>
  <c r="Q21" i="28"/>
  <c r="P21" i="28"/>
  <c r="O21" i="28"/>
  <c r="M21" i="28"/>
  <c r="N21" i="28" s="1"/>
  <c r="X20" i="28"/>
  <c r="Q20" i="28"/>
  <c r="P20" i="28"/>
  <c r="O20" i="28"/>
  <c r="S20" i="28" s="1"/>
  <c r="Y20" i="28" s="1"/>
  <c r="M20" i="28"/>
  <c r="N20" i="28" s="1"/>
  <c r="X19" i="28"/>
  <c r="Q19" i="28"/>
  <c r="P19" i="28"/>
  <c r="O19" i="28"/>
  <c r="S19" i="28" s="1"/>
  <c r="Y19" i="28" s="1"/>
  <c r="M19" i="28"/>
  <c r="N19" i="28" s="1"/>
  <c r="X18" i="28"/>
  <c r="Q18" i="28"/>
  <c r="P18" i="28"/>
  <c r="O18" i="28"/>
  <c r="S18" i="28" s="1"/>
  <c r="Y18" i="28" s="1"/>
  <c r="M18" i="28"/>
  <c r="N18" i="28" s="1"/>
  <c r="X17" i="28"/>
  <c r="Q17" i="28"/>
  <c r="P17" i="28"/>
  <c r="O17" i="28"/>
  <c r="S17" i="28" s="1"/>
  <c r="Y17" i="28" s="1"/>
  <c r="M17" i="28"/>
  <c r="N17" i="28" s="1"/>
  <c r="T16" i="28"/>
  <c r="X16" i="28" s="1"/>
  <c r="Q16" i="28"/>
  <c r="P16" i="28"/>
  <c r="O16" i="28"/>
  <c r="S16" i="28" s="1"/>
  <c r="M16" i="28"/>
  <c r="N16" i="28" s="1"/>
  <c r="T15" i="28"/>
  <c r="X15" i="28" s="1"/>
  <c r="Q15" i="28"/>
  <c r="P15" i="28"/>
  <c r="O15" i="28"/>
  <c r="M15" i="28"/>
  <c r="N15" i="28" s="1"/>
  <c r="T14" i="28"/>
  <c r="X14" i="28" s="1"/>
  <c r="Q14" i="28"/>
  <c r="P14" i="28"/>
  <c r="O14" i="28"/>
  <c r="M14" i="28"/>
  <c r="N14" i="28" s="1"/>
  <c r="T13" i="28"/>
  <c r="X13" i="28" s="1"/>
  <c r="Q13" i="28"/>
  <c r="P13" i="28"/>
  <c r="O13" i="28"/>
  <c r="S13" i="28" s="1"/>
  <c r="Y13" i="28" s="1"/>
  <c r="M13" i="28"/>
  <c r="N13" i="28" s="1"/>
  <c r="T12" i="28"/>
  <c r="X12" i="28" s="1"/>
  <c r="Q12" i="28"/>
  <c r="P12" i="28"/>
  <c r="O12" i="28"/>
  <c r="S12" i="28" s="1"/>
  <c r="M12" i="28"/>
  <c r="N12" i="28" s="1"/>
  <c r="T11" i="28"/>
  <c r="X11" i="28" s="1"/>
  <c r="Q11" i="28"/>
  <c r="P11" i="28"/>
  <c r="O11" i="28"/>
  <c r="S11" i="28" s="1"/>
  <c r="Y11" i="28" s="1"/>
  <c r="M11" i="28"/>
  <c r="N11" i="28" s="1"/>
  <c r="X10" i="28"/>
  <c r="Q10" i="28"/>
  <c r="P10" i="28"/>
  <c r="O10" i="28"/>
  <c r="S10" i="28" s="1"/>
  <c r="Y10" i="28" s="1"/>
  <c r="M10" i="28"/>
  <c r="N10" i="28" s="1"/>
  <c r="T9" i="28"/>
  <c r="Q9" i="28"/>
  <c r="P9" i="28"/>
  <c r="O9" i="28"/>
  <c r="S9" i="28" s="1"/>
  <c r="M9" i="28"/>
  <c r="N9" i="28" s="1"/>
  <c r="X8" i="28"/>
  <c r="Q8" i="28"/>
  <c r="P8" i="28"/>
  <c r="O8" i="28"/>
  <c r="M8" i="28"/>
  <c r="N8" i="28" s="1"/>
  <c r="X7" i="28"/>
  <c r="Q7" i="28"/>
  <c r="P7" i="28"/>
  <c r="O7" i="28"/>
  <c r="S7" i="28" s="1"/>
  <c r="Y7" i="28" s="1"/>
  <c r="M7" i="28"/>
  <c r="N7" i="28" s="1"/>
  <c r="A7" i="28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S28" i="28" l="1"/>
  <c r="Y28" i="28" s="1"/>
  <c r="Y25" i="28"/>
  <c r="S15" i="28"/>
  <c r="Y15" i="28" s="1"/>
  <c r="S39" i="28"/>
  <c r="Y39" i="28" s="1"/>
  <c r="S70" i="28"/>
  <c r="Y70" i="28" s="1"/>
  <c r="N192" i="28"/>
  <c r="P192" i="28"/>
  <c r="S44" i="28"/>
  <c r="Y44" i="28" s="1"/>
  <c r="S34" i="28"/>
  <c r="Y34" i="28" s="1"/>
  <c r="Y58" i="28"/>
  <c r="S24" i="28"/>
  <c r="S71" i="28"/>
  <c r="Y71" i="28" s="1"/>
  <c r="S46" i="28"/>
  <c r="Y46" i="28" s="1"/>
  <c r="S72" i="28"/>
  <c r="Y72" i="28" s="1"/>
  <c r="S30" i="28"/>
  <c r="Y30" i="28" s="1"/>
  <c r="Y24" i="28"/>
  <c r="S21" i="28"/>
  <c r="Y21" i="28" s="1"/>
  <c r="S14" i="28"/>
  <c r="Y14" i="28" s="1"/>
  <c r="S8" i="28"/>
  <c r="Y8" i="28" s="1"/>
  <c r="Q192" i="28"/>
  <c r="S73" i="28"/>
  <c r="Y73" i="28" s="1"/>
  <c r="Y16" i="28"/>
  <c r="T190" i="28"/>
  <c r="S190" i="28"/>
  <c r="T189" i="28"/>
  <c r="S189" i="28"/>
  <c r="T188" i="28"/>
  <c r="S188" i="28"/>
  <c r="T187" i="28"/>
  <c r="S187" i="28"/>
  <c r="T186" i="28"/>
  <c r="X186" i="28" s="1"/>
  <c r="S186" i="28"/>
  <c r="T185" i="28"/>
  <c r="X185" i="28" s="1"/>
  <c r="S185" i="28"/>
  <c r="T184" i="28"/>
  <c r="S184" i="28"/>
  <c r="T180" i="28"/>
  <c r="X180" i="28" s="1"/>
  <c r="S180" i="28"/>
  <c r="T179" i="28"/>
  <c r="S179" i="28"/>
  <c r="T178" i="28"/>
  <c r="S178" i="28"/>
  <c r="T177" i="28"/>
  <c r="S177" i="28"/>
  <c r="T176" i="28"/>
  <c r="S176" i="28"/>
  <c r="T175" i="28"/>
  <c r="S175" i="28"/>
  <c r="S174" i="28"/>
  <c r="T174" i="28"/>
  <c r="S173" i="28"/>
  <c r="T173" i="28"/>
  <c r="S172" i="28"/>
  <c r="T172" i="28"/>
  <c r="T171" i="28"/>
  <c r="S171" i="28"/>
  <c r="T170" i="28"/>
  <c r="X170" i="28" s="1"/>
  <c r="S170" i="28"/>
  <c r="T169" i="28"/>
  <c r="S169" i="28"/>
  <c r="S168" i="28"/>
  <c r="T168" i="28"/>
  <c r="T167" i="28"/>
  <c r="S167" i="28"/>
  <c r="T166" i="28"/>
  <c r="S166" i="28"/>
  <c r="T165" i="28"/>
  <c r="S165" i="28"/>
  <c r="T164" i="28"/>
  <c r="S164" i="28"/>
  <c r="T163" i="28"/>
  <c r="S163" i="28"/>
  <c r="T162" i="28"/>
  <c r="S162" i="28"/>
  <c r="T161" i="28"/>
  <c r="S161" i="28"/>
  <c r="T160" i="28"/>
  <c r="S160" i="28"/>
  <c r="T159" i="28"/>
  <c r="S159" i="28"/>
  <c r="S158" i="28"/>
  <c r="T158" i="28"/>
  <c r="T157" i="28"/>
  <c r="S157" i="28"/>
  <c r="T156" i="28"/>
  <c r="S156" i="28"/>
  <c r="T155" i="28"/>
  <c r="S155" i="28"/>
  <c r="T154" i="28"/>
  <c r="S154" i="28"/>
  <c r="T153" i="28"/>
  <c r="S153" i="28"/>
  <c r="T152" i="28"/>
  <c r="S152" i="28"/>
  <c r="S151" i="28"/>
  <c r="T151" i="28"/>
  <c r="S150" i="28"/>
  <c r="T150" i="28"/>
  <c r="T149" i="28"/>
  <c r="S149" i="28"/>
  <c r="T148" i="28"/>
  <c r="S148" i="28"/>
  <c r="T147" i="28"/>
  <c r="S147" i="28"/>
  <c r="T146" i="28"/>
  <c r="S146" i="28"/>
  <c r="S145" i="28"/>
  <c r="T145" i="28"/>
  <c r="X145" i="28" s="1"/>
  <c r="T144" i="28"/>
  <c r="S144" i="28"/>
  <c r="T143" i="28"/>
  <c r="S143" i="28"/>
  <c r="S142" i="28"/>
  <c r="T142" i="28"/>
  <c r="T141" i="28"/>
  <c r="S141" i="28"/>
  <c r="T140" i="28"/>
  <c r="S140" i="28"/>
  <c r="T139" i="28"/>
  <c r="S139" i="28"/>
  <c r="T138" i="28"/>
  <c r="X138" i="28" s="1"/>
  <c r="S138" i="28"/>
  <c r="T137" i="28"/>
  <c r="S137" i="28"/>
  <c r="S136" i="28"/>
  <c r="T136" i="28"/>
  <c r="S135" i="28"/>
  <c r="T135" i="28"/>
  <c r="X135" i="28" s="1"/>
  <c r="S134" i="28"/>
  <c r="T134" i="28"/>
  <c r="T133" i="28"/>
  <c r="S133" i="28"/>
  <c r="T132" i="28"/>
  <c r="S132" i="28"/>
  <c r="T131" i="28"/>
  <c r="X131" i="28" s="1"/>
  <c r="S131" i="28"/>
  <c r="T130" i="28"/>
  <c r="S130" i="28"/>
  <c r="S129" i="28"/>
  <c r="T129" i="28"/>
  <c r="S128" i="28"/>
  <c r="T128" i="28"/>
  <c r="T127" i="28"/>
  <c r="S127" i="28"/>
  <c r="S126" i="28"/>
  <c r="T126" i="28"/>
  <c r="S125" i="28"/>
  <c r="T125" i="28"/>
  <c r="X125" i="28" s="1"/>
  <c r="T124" i="28"/>
  <c r="X124" i="28" s="1"/>
  <c r="S124" i="28"/>
  <c r="T123" i="28"/>
  <c r="S123" i="28"/>
  <c r="S122" i="28"/>
  <c r="T122" i="28"/>
  <c r="T121" i="28"/>
  <c r="S121" i="28"/>
  <c r="T120" i="28"/>
  <c r="S120" i="28"/>
  <c r="S119" i="28"/>
  <c r="T119" i="28"/>
  <c r="S118" i="28"/>
  <c r="T118" i="28"/>
  <c r="X118" i="28" s="1"/>
  <c r="S117" i="28"/>
  <c r="T117" i="28"/>
  <c r="S116" i="28"/>
  <c r="T116" i="28"/>
  <c r="X116" i="28" s="1"/>
  <c r="T115" i="28"/>
  <c r="S115" i="28"/>
  <c r="T114" i="28"/>
  <c r="S114" i="28"/>
  <c r="T113" i="28"/>
  <c r="S113" i="28"/>
  <c r="T111" i="28"/>
  <c r="S111" i="28"/>
  <c r="S110" i="28"/>
  <c r="T110" i="28"/>
  <c r="S109" i="28"/>
  <c r="T109" i="28"/>
  <c r="T108" i="28"/>
  <c r="X108" i="28" s="1"/>
  <c r="S108" i="28"/>
  <c r="S106" i="28"/>
  <c r="T106" i="28"/>
  <c r="X106" i="28" s="1"/>
  <c r="S105" i="28"/>
  <c r="T105" i="28"/>
  <c r="X105" i="28" s="1"/>
  <c r="S104" i="28"/>
  <c r="T104" i="28"/>
  <c r="S103" i="28"/>
  <c r="T103" i="28"/>
  <c r="X103" i="28" s="1"/>
  <c r="T102" i="28"/>
  <c r="X102" i="28" s="1"/>
  <c r="S102" i="28"/>
  <c r="S101" i="28"/>
  <c r="T101" i="28"/>
  <c r="S100" i="28"/>
  <c r="T100" i="28"/>
  <c r="S99" i="28"/>
  <c r="T99" i="28"/>
  <c r="S98" i="28"/>
  <c r="T98" i="28"/>
  <c r="T97" i="28"/>
  <c r="S97" i="28"/>
  <c r="T96" i="28"/>
  <c r="S96" i="28"/>
  <c r="T95" i="28"/>
  <c r="X95" i="28" s="1"/>
  <c r="S95" i="28"/>
  <c r="T92" i="28"/>
  <c r="X92" i="28" s="1"/>
  <c r="S92" i="28"/>
  <c r="T91" i="28"/>
  <c r="X91" i="28" s="1"/>
  <c r="S91" i="28"/>
  <c r="T90" i="28"/>
  <c r="X90" i="28" s="1"/>
  <c r="S90" i="28"/>
  <c r="T88" i="28"/>
  <c r="X88" i="28" s="1"/>
  <c r="S88" i="28"/>
  <c r="T87" i="28"/>
  <c r="X87" i="28" s="1"/>
  <c r="S87" i="28"/>
  <c r="T86" i="28"/>
  <c r="X86" i="28" s="1"/>
  <c r="S86" i="28"/>
  <c r="S85" i="28"/>
  <c r="T85" i="28"/>
  <c r="X85" i="28" s="1"/>
  <c r="T82" i="28"/>
  <c r="X82" i="28" s="1"/>
  <c r="S82" i="28"/>
  <c r="T81" i="28"/>
  <c r="X81" i="28" s="1"/>
  <c r="S81" i="28"/>
  <c r="S69" i="28"/>
  <c r="T69" i="28"/>
  <c r="X69" i="28" s="1"/>
  <c r="S65" i="28"/>
  <c r="T65" i="28"/>
  <c r="X65" i="28" s="1"/>
  <c r="S64" i="28"/>
  <c r="T64" i="28"/>
  <c r="X64" i="28" s="1"/>
  <c r="S61" i="28"/>
  <c r="T61" i="28"/>
  <c r="X61" i="28" s="1"/>
  <c r="T60" i="28"/>
  <c r="X60" i="28" s="1"/>
  <c r="S60" i="28"/>
  <c r="S55" i="28"/>
  <c r="T55" i="28"/>
  <c r="X55" i="28" s="1"/>
  <c r="T54" i="28"/>
  <c r="X54" i="28" s="1"/>
  <c r="S54" i="28"/>
  <c r="T50" i="28"/>
  <c r="X50" i="28" s="1"/>
  <c r="S50" i="28"/>
  <c r="S49" i="28"/>
  <c r="T49" i="28"/>
  <c r="X49" i="28" s="1"/>
  <c r="S48" i="28"/>
  <c r="T48" i="28"/>
  <c r="X48" i="28" s="1"/>
  <c r="T26" i="28"/>
  <c r="S26" i="28"/>
  <c r="X9" i="28"/>
  <c r="O192" i="28"/>
  <c r="Y12" i="28"/>
  <c r="M40" i="27"/>
  <c r="N40" i="27" s="1"/>
  <c r="O40" i="27"/>
  <c r="P40" i="27"/>
  <c r="Q40" i="27"/>
  <c r="Y186" i="28" l="1"/>
  <c r="Y185" i="28"/>
  <c r="Y180" i="28"/>
  <c r="Y170" i="28"/>
  <c r="Y102" i="28"/>
  <c r="Y138" i="28"/>
  <c r="Y131" i="28"/>
  <c r="Y108" i="28"/>
  <c r="X99" i="28"/>
  <c r="Y99" i="28" s="1"/>
  <c r="T192" i="28"/>
  <c r="U190" i="28"/>
  <c r="X190" i="28" s="1"/>
  <c r="Y190" i="28" s="1"/>
  <c r="U189" i="28"/>
  <c r="X189" i="28" s="1"/>
  <c r="Y189" i="28"/>
  <c r="U188" i="28"/>
  <c r="X188" i="28" s="1"/>
  <c r="Y188" i="28" s="1"/>
  <c r="U187" i="28"/>
  <c r="X187" i="28" s="1"/>
  <c r="Y187" i="28" s="1"/>
  <c r="U184" i="28"/>
  <c r="X184" i="28" s="1"/>
  <c r="Y184" i="28" s="1"/>
  <c r="U179" i="28"/>
  <c r="X179" i="28" s="1"/>
  <c r="Y179" i="28" s="1"/>
  <c r="U178" i="28"/>
  <c r="X178" i="28" s="1"/>
  <c r="Y178" i="28" s="1"/>
  <c r="U177" i="28"/>
  <c r="X177" i="28" s="1"/>
  <c r="Y177" i="28" s="1"/>
  <c r="U176" i="28"/>
  <c r="X176" i="28" s="1"/>
  <c r="Y176" i="28" s="1"/>
  <c r="U175" i="28"/>
  <c r="X175" i="28" s="1"/>
  <c r="Y175" i="28" s="1"/>
  <c r="U174" i="28"/>
  <c r="X174" i="28" s="1"/>
  <c r="Y174" i="28" s="1"/>
  <c r="U173" i="28"/>
  <c r="X173" i="28" s="1"/>
  <c r="Y173" i="28" s="1"/>
  <c r="U172" i="28"/>
  <c r="X172" i="28" s="1"/>
  <c r="Y172" i="28" s="1"/>
  <c r="U171" i="28"/>
  <c r="X171" i="28" s="1"/>
  <c r="Y171" i="28" s="1"/>
  <c r="U169" i="28"/>
  <c r="X169" i="28" s="1"/>
  <c r="Y169" i="28" s="1"/>
  <c r="U168" i="28"/>
  <c r="X168" i="28" s="1"/>
  <c r="Y168" i="28" s="1"/>
  <c r="U167" i="28"/>
  <c r="X167" i="28" s="1"/>
  <c r="Y167" i="28" s="1"/>
  <c r="U166" i="28"/>
  <c r="X166" i="28" s="1"/>
  <c r="Y166" i="28" s="1"/>
  <c r="U165" i="28"/>
  <c r="X165" i="28" s="1"/>
  <c r="Y165" i="28" s="1"/>
  <c r="U164" i="28"/>
  <c r="X164" i="28" s="1"/>
  <c r="Y164" i="28" s="1"/>
  <c r="U163" i="28"/>
  <c r="X163" i="28" s="1"/>
  <c r="Y163" i="28" s="1"/>
  <c r="U162" i="28"/>
  <c r="X162" i="28" s="1"/>
  <c r="Y162" i="28" s="1"/>
  <c r="U161" i="28"/>
  <c r="X161" i="28" s="1"/>
  <c r="Y161" i="28" s="1"/>
  <c r="U160" i="28"/>
  <c r="X160" i="28" s="1"/>
  <c r="Y160" i="28" s="1"/>
  <c r="U159" i="28"/>
  <c r="X159" i="28" s="1"/>
  <c r="Y159" i="28" s="1"/>
  <c r="U158" i="28"/>
  <c r="X158" i="28" s="1"/>
  <c r="Y158" i="28" s="1"/>
  <c r="U157" i="28"/>
  <c r="X157" i="28" s="1"/>
  <c r="Y157" i="28" s="1"/>
  <c r="U156" i="28"/>
  <c r="X156" i="28" s="1"/>
  <c r="Y156" i="28" s="1"/>
  <c r="U155" i="28"/>
  <c r="X155" i="28" s="1"/>
  <c r="Y155" i="28" s="1"/>
  <c r="U154" i="28"/>
  <c r="X154" i="28" s="1"/>
  <c r="Y154" i="28" s="1"/>
  <c r="U153" i="28"/>
  <c r="X153" i="28" s="1"/>
  <c r="Y153" i="28" s="1"/>
  <c r="U152" i="28"/>
  <c r="X152" i="28" s="1"/>
  <c r="Y152" i="28" s="1"/>
  <c r="U151" i="28"/>
  <c r="X151" i="28" s="1"/>
  <c r="Y151" i="28" s="1"/>
  <c r="U150" i="28"/>
  <c r="X150" i="28" s="1"/>
  <c r="Y150" i="28" s="1"/>
  <c r="U149" i="28"/>
  <c r="X149" i="28" s="1"/>
  <c r="Y149" i="28" s="1"/>
  <c r="U148" i="28"/>
  <c r="X148" i="28" s="1"/>
  <c r="Y148" i="28" s="1"/>
  <c r="U147" i="28"/>
  <c r="X147" i="28" s="1"/>
  <c r="Y147" i="28" s="1"/>
  <c r="U146" i="28"/>
  <c r="X146" i="28" s="1"/>
  <c r="Y146" i="28" s="1"/>
  <c r="U144" i="28"/>
  <c r="X144" i="28" s="1"/>
  <c r="Y144" i="28" s="1"/>
  <c r="U143" i="28"/>
  <c r="X143" i="28" s="1"/>
  <c r="Y143" i="28" s="1"/>
  <c r="U142" i="28"/>
  <c r="X142" i="28" s="1"/>
  <c r="Y142" i="28" s="1"/>
  <c r="U141" i="28"/>
  <c r="X141" i="28" s="1"/>
  <c r="Y141" i="28" s="1"/>
  <c r="U140" i="28"/>
  <c r="X140" i="28" s="1"/>
  <c r="Y140" i="28" s="1"/>
  <c r="U139" i="28"/>
  <c r="X139" i="28" s="1"/>
  <c r="Y139" i="28" s="1"/>
  <c r="U137" i="28"/>
  <c r="X137" i="28" s="1"/>
  <c r="Y137" i="28" s="1"/>
  <c r="U136" i="28"/>
  <c r="X136" i="28" s="1"/>
  <c r="Y136" i="28" s="1"/>
  <c r="U134" i="28"/>
  <c r="X134" i="28" s="1"/>
  <c r="Y134" i="28" s="1"/>
  <c r="U133" i="28"/>
  <c r="X133" i="28" s="1"/>
  <c r="Y133" i="28" s="1"/>
  <c r="U132" i="28"/>
  <c r="X132" i="28" s="1"/>
  <c r="Y132" i="28" s="1"/>
  <c r="U130" i="28"/>
  <c r="X130" i="28" s="1"/>
  <c r="Y130" i="28" s="1"/>
  <c r="U129" i="28"/>
  <c r="X129" i="28" s="1"/>
  <c r="Y129" i="28" s="1"/>
  <c r="U128" i="28"/>
  <c r="X128" i="28" s="1"/>
  <c r="Y128" i="28" s="1"/>
  <c r="U127" i="28"/>
  <c r="X127" i="28" s="1"/>
  <c r="Y127" i="28" s="1"/>
  <c r="U126" i="28"/>
  <c r="X126" i="28" s="1"/>
  <c r="Y126" i="28" s="1"/>
  <c r="U123" i="28"/>
  <c r="X123" i="28" s="1"/>
  <c r="Y123" i="28" s="1"/>
  <c r="U122" i="28"/>
  <c r="X122" i="28" s="1"/>
  <c r="Y122" i="28" s="1"/>
  <c r="U121" i="28"/>
  <c r="X121" i="28" s="1"/>
  <c r="Y121" i="28" s="1"/>
  <c r="U120" i="28"/>
  <c r="X120" i="28" s="1"/>
  <c r="Y120" i="28" s="1"/>
  <c r="U119" i="28"/>
  <c r="X119" i="28" s="1"/>
  <c r="Y119" i="28" s="1"/>
  <c r="U117" i="28"/>
  <c r="X117" i="28" s="1"/>
  <c r="Y117" i="28" s="1"/>
  <c r="U115" i="28"/>
  <c r="X115" i="28" s="1"/>
  <c r="Y115" i="28" s="1"/>
  <c r="U114" i="28"/>
  <c r="X114" i="28" s="1"/>
  <c r="Y114" i="28" s="1"/>
  <c r="U113" i="28"/>
  <c r="X113" i="28" s="1"/>
  <c r="Y113" i="28" s="1"/>
  <c r="U111" i="28"/>
  <c r="X111" i="28" s="1"/>
  <c r="Y111" i="28" s="1"/>
  <c r="U110" i="28"/>
  <c r="X110" i="28" s="1"/>
  <c r="Y110" i="28" s="1"/>
  <c r="U109" i="28"/>
  <c r="X109" i="28" s="1"/>
  <c r="Y109" i="28" s="1"/>
  <c r="U104" i="28"/>
  <c r="X104" i="28" s="1"/>
  <c r="Y104" i="28" s="1"/>
  <c r="U101" i="28"/>
  <c r="X101" i="28" s="1"/>
  <c r="Y101" i="28" s="1"/>
  <c r="U100" i="28"/>
  <c r="X100" i="28" s="1"/>
  <c r="Y100" i="28" s="1"/>
  <c r="U98" i="28"/>
  <c r="X98" i="28" s="1"/>
  <c r="Y98" i="28" s="1"/>
  <c r="U97" i="28"/>
  <c r="X97" i="28" s="1"/>
  <c r="Y97" i="28" s="1"/>
  <c r="U96" i="28"/>
  <c r="X96" i="28" s="1"/>
  <c r="Y96" i="28" s="1"/>
  <c r="U26" i="28"/>
  <c r="Y9" i="28"/>
  <c r="S192" i="28"/>
  <c r="Y64" i="28"/>
  <c r="Y61" i="28"/>
  <c r="Y49" i="28"/>
  <c r="Y48" i="28"/>
  <c r="Y145" i="28"/>
  <c r="Y135" i="28"/>
  <c r="Y125" i="28"/>
  <c r="Y124" i="28"/>
  <c r="Y118" i="28"/>
  <c r="Y116" i="28"/>
  <c r="Y106" i="28"/>
  <c r="Y105" i="28"/>
  <c r="Y103" i="28"/>
  <c r="Y91" i="28"/>
  <c r="Y90" i="28"/>
  <c r="Y88" i="28"/>
  <c r="Y65" i="28"/>
  <c r="Y60" i="28"/>
  <c r="Y50" i="28"/>
  <c r="Y95" i="28"/>
  <c r="Y92" i="28"/>
  <c r="Y87" i="28"/>
  <c r="Y86" i="28"/>
  <c r="Y85" i="28"/>
  <c r="Y82" i="28"/>
  <c r="Y81" i="28"/>
  <c r="Y69" i="28"/>
  <c r="Y55" i="28"/>
  <c r="Y54" i="28"/>
  <c r="S40" i="27"/>
  <c r="T40" i="27"/>
  <c r="X26" i="28" l="1"/>
  <c r="U192" i="28"/>
  <c r="Q181" i="27"/>
  <c r="P181" i="27"/>
  <c r="O181" i="27"/>
  <c r="T181" i="27" s="1"/>
  <c r="M181" i="27"/>
  <c r="N181" i="27" s="1"/>
  <c r="Q180" i="27"/>
  <c r="P180" i="27"/>
  <c r="O180" i="27"/>
  <c r="M180" i="27"/>
  <c r="N180" i="27" s="1"/>
  <c r="T179" i="27"/>
  <c r="Q179" i="27"/>
  <c r="P179" i="27"/>
  <c r="O179" i="27"/>
  <c r="M179" i="27"/>
  <c r="N179" i="27" s="1"/>
  <c r="Q178" i="27"/>
  <c r="P178" i="27"/>
  <c r="O178" i="27"/>
  <c r="M178" i="27"/>
  <c r="N178" i="27" s="1"/>
  <c r="Y26" i="28" l="1"/>
  <c r="Y192" i="28" s="1"/>
  <c r="X192" i="28"/>
  <c r="S178" i="27"/>
  <c r="S180" i="27"/>
  <c r="U180" i="27" s="1"/>
  <c r="S181" i="27"/>
  <c r="S179" i="27"/>
  <c r="X178" i="27"/>
  <c r="X181" i="27"/>
  <c r="X179" i="27"/>
  <c r="T180" i="27"/>
  <c r="Y181" i="27" l="1"/>
  <c r="Y178" i="27"/>
  <c r="Y179" i="27"/>
  <c r="X180" i="27"/>
  <c r="Y180" i="27" s="1"/>
  <c r="Q186" i="27" l="1"/>
  <c r="P186" i="27"/>
  <c r="O186" i="27"/>
  <c r="T186" i="27" s="1"/>
  <c r="M186" i="27"/>
  <c r="N186" i="27" s="1"/>
  <c r="Q185" i="27"/>
  <c r="P185" i="27"/>
  <c r="O185" i="27"/>
  <c r="M185" i="27"/>
  <c r="N185" i="27" s="1"/>
  <c r="Q184" i="27"/>
  <c r="P184" i="27"/>
  <c r="O184" i="27"/>
  <c r="T184" i="27" s="1"/>
  <c r="M184" i="27"/>
  <c r="N184" i="27" s="1"/>
  <c r="Q183" i="27"/>
  <c r="P183" i="27"/>
  <c r="O183" i="27"/>
  <c r="M183" i="27"/>
  <c r="N183" i="27" s="1"/>
  <c r="Q182" i="27"/>
  <c r="P182" i="27"/>
  <c r="O182" i="27"/>
  <c r="T182" i="27" s="1"/>
  <c r="M182" i="27"/>
  <c r="N182" i="27" s="1"/>
  <c r="S183" i="27" l="1"/>
  <c r="U183" i="27" s="1"/>
  <c r="S185" i="27"/>
  <c r="U185" i="27" s="1"/>
  <c r="S182" i="27"/>
  <c r="X182" i="27" s="1"/>
  <c r="Y182" i="27" s="1"/>
  <c r="S184" i="27"/>
  <c r="U184" i="27" s="1"/>
  <c r="X184" i="27" s="1"/>
  <c r="Y184" i="27" s="1"/>
  <c r="S186" i="27"/>
  <c r="U186" i="27" s="1"/>
  <c r="X186" i="27" s="1"/>
  <c r="Y186" i="27" s="1"/>
  <c r="T183" i="27"/>
  <c r="T185" i="27"/>
  <c r="X183" i="27" l="1"/>
  <c r="Y183" i="27" s="1"/>
  <c r="X185" i="27"/>
  <c r="Y185" i="27" s="1"/>
  <c r="R188" i="27"/>
  <c r="V188" i="27"/>
  <c r="W188" i="27"/>
  <c r="M156" i="27" l="1"/>
  <c r="N156" i="27" s="1"/>
  <c r="O156" i="27"/>
  <c r="T156" i="27" s="1"/>
  <c r="P156" i="27"/>
  <c r="Q156" i="27"/>
  <c r="M157" i="27"/>
  <c r="N157" i="27" s="1"/>
  <c r="O157" i="27"/>
  <c r="T157" i="27" s="1"/>
  <c r="P157" i="27"/>
  <c r="Q157" i="27"/>
  <c r="M158" i="27"/>
  <c r="N158" i="27" s="1"/>
  <c r="O158" i="27"/>
  <c r="T158" i="27" s="1"/>
  <c r="P158" i="27"/>
  <c r="Q158" i="27"/>
  <c r="M159" i="27"/>
  <c r="N159" i="27" s="1"/>
  <c r="O159" i="27"/>
  <c r="T159" i="27" s="1"/>
  <c r="P159" i="27"/>
  <c r="Q159" i="27"/>
  <c r="M160" i="27"/>
  <c r="N160" i="27" s="1"/>
  <c r="O160" i="27"/>
  <c r="T160" i="27" s="1"/>
  <c r="P160" i="27"/>
  <c r="Q160" i="27"/>
  <c r="M161" i="27"/>
  <c r="N161" i="27" s="1"/>
  <c r="O161" i="27"/>
  <c r="T161" i="27" s="1"/>
  <c r="P161" i="27"/>
  <c r="Q161" i="27"/>
  <c r="M162" i="27"/>
  <c r="N162" i="27" s="1"/>
  <c r="O162" i="27"/>
  <c r="T162" i="27" s="1"/>
  <c r="P162" i="27"/>
  <c r="Q162" i="27"/>
  <c r="M163" i="27"/>
  <c r="N163" i="27" s="1"/>
  <c r="O163" i="27"/>
  <c r="T163" i="27" s="1"/>
  <c r="P163" i="27"/>
  <c r="Q163" i="27"/>
  <c r="M164" i="27"/>
  <c r="N164" i="27" s="1"/>
  <c r="O164" i="27"/>
  <c r="T164" i="27" s="1"/>
  <c r="P164" i="27"/>
  <c r="Q164" i="27"/>
  <c r="M165" i="27"/>
  <c r="N165" i="27" s="1"/>
  <c r="O165" i="27"/>
  <c r="T165" i="27" s="1"/>
  <c r="X165" i="27" s="1"/>
  <c r="P165" i="27"/>
  <c r="Q165" i="27"/>
  <c r="M166" i="27"/>
  <c r="N166" i="27" s="1"/>
  <c r="O166" i="27"/>
  <c r="T166" i="27" s="1"/>
  <c r="P166" i="27"/>
  <c r="Q166" i="27"/>
  <c r="M167" i="27"/>
  <c r="N167" i="27" s="1"/>
  <c r="O167" i="27"/>
  <c r="T167" i="27" s="1"/>
  <c r="P167" i="27"/>
  <c r="Q167" i="27"/>
  <c r="M168" i="27"/>
  <c r="N168" i="27" s="1"/>
  <c r="O168" i="27"/>
  <c r="T168" i="27" s="1"/>
  <c r="P168" i="27"/>
  <c r="Q168" i="27"/>
  <c r="M169" i="27"/>
  <c r="N169" i="27" s="1"/>
  <c r="O169" i="27"/>
  <c r="T169" i="27" s="1"/>
  <c r="P169" i="27"/>
  <c r="Q169" i="27"/>
  <c r="M170" i="27"/>
  <c r="N170" i="27" s="1"/>
  <c r="O170" i="27"/>
  <c r="T170" i="27" s="1"/>
  <c r="P170" i="27"/>
  <c r="Q170" i="27"/>
  <c r="M171" i="27"/>
  <c r="N171" i="27" s="1"/>
  <c r="O171" i="27"/>
  <c r="P171" i="27"/>
  <c r="Q171" i="27"/>
  <c r="M172" i="27"/>
  <c r="N172" i="27" s="1"/>
  <c r="O172" i="27"/>
  <c r="T172" i="27" s="1"/>
  <c r="P172" i="27"/>
  <c r="Q172" i="27"/>
  <c r="M173" i="27"/>
  <c r="N173" i="27" s="1"/>
  <c r="O173" i="27"/>
  <c r="T173" i="27" s="1"/>
  <c r="P173" i="27"/>
  <c r="Q173" i="27"/>
  <c r="M174" i="27"/>
  <c r="N174" i="27" s="1"/>
  <c r="O174" i="27"/>
  <c r="P174" i="27"/>
  <c r="Q174" i="27"/>
  <c r="M175" i="27"/>
  <c r="N175" i="27" s="1"/>
  <c r="O175" i="27"/>
  <c r="T175" i="27" s="1"/>
  <c r="P175" i="27"/>
  <c r="Q175" i="27"/>
  <c r="M176" i="27"/>
  <c r="N176" i="27" s="1"/>
  <c r="O176" i="27"/>
  <c r="T176" i="27" s="1"/>
  <c r="P176" i="27"/>
  <c r="Q176" i="27"/>
  <c r="M177" i="27"/>
  <c r="N177" i="27" s="1"/>
  <c r="O177" i="27"/>
  <c r="T177" i="27" s="1"/>
  <c r="P177" i="27"/>
  <c r="Q177" i="27"/>
  <c r="S170" i="27" l="1"/>
  <c r="U170" i="27" s="1"/>
  <c r="X170" i="27" s="1"/>
  <c r="Y170" i="27" s="1"/>
  <c r="S171" i="27"/>
  <c r="U171" i="27" s="1"/>
  <c r="T171" i="27"/>
  <c r="S174" i="27"/>
  <c r="U174" i="27" s="1"/>
  <c r="S167" i="27"/>
  <c r="U167" i="27" s="1"/>
  <c r="X167" i="27" s="1"/>
  <c r="Y167" i="27" s="1"/>
  <c r="T174" i="27"/>
  <c r="S163" i="27"/>
  <c r="S158" i="27"/>
  <c r="U158" i="27" s="1"/>
  <c r="X158" i="27" s="1"/>
  <c r="Y158" i="27" s="1"/>
  <c r="S175" i="27"/>
  <c r="S172" i="27"/>
  <c r="S166" i="27"/>
  <c r="S156" i="27"/>
  <c r="S162" i="27"/>
  <c r="S165" i="27"/>
  <c r="Y165" i="27" s="1"/>
  <c r="S159" i="27"/>
  <c r="S176" i="27"/>
  <c r="S160" i="27"/>
  <c r="S164" i="27"/>
  <c r="S177" i="27"/>
  <c r="S161" i="27"/>
  <c r="S169" i="27"/>
  <c r="S157" i="27"/>
  <c r="S168" i="27"/>
  <c r="S173" i="27"/>
  <c r="T10" i="27"/>
  <c r="X177" i="27" l="1"/>
  <c r="Y177" i="27" s="1"/>
  <c r="X174" i="27"/>
  <c r="Y174" i="27" s="1"/>
  <c r="X171" i="27"/>
  <c r="Y171" i="27" s="1"/>
  <c r="U173" i="27"/>
  <c r="X173" i="27" s="1"/>
  <c r="Y173" i="27" s="1"/>
  <c r="U162" i="27"/>
  <c r="X162" i="27" s="1"/>
  <c r="Y162" i="27" s="1"/>
  <c r="U168" i="27"/>
  <c r="X168" i="27" s="1"/>
  <c r="Y168" i="27" s="1"/>
  <c r="U156" i="27"/>
  <c r="X156" i="27" s="1"/>
  <c r="Y156" i="27" s="1"/>
  <c r="U164" i="27"/>
  <c r="X164" i="27" s="1"/>
  <c r="Y164" i="27" s="1"/>
  <c r="U166" i="27"/>
  <c r="X166" i="27" s="1"/>
  <c r="Y166" i="27" s="1"/>
  <c r="U157" i="27"/>
  <c r="X157" i="27" s="1"/>
  <c r="Y157" i="27" s="1"/>
  <c r="U172" i="27"/>
  <c r="X172" i="27" s="1"/>
  <c r="Y172" i="27" s="1"/>
  <c r="U160" i="27"/>
  <c r="X160" i="27" s="1"/>
  <c r="Y160" i="27" s="1"/>
  <c r="U169" i="27"/>
  <c r="X169" i="27" s="1"/>
  <c r="Y169" i="27" s="1"/>
  <c r="U176" i="27"/>
  <c r="X176" i="27" s="1"/>
  <c r="Y176" i="27" s="1"/>
  <c r="U175" i="27"/>
  <c r="X175" i="27" s="1"/>
  <c r="Y175" i="27" s="1"/>
  <c r="U159" i="27"/>
  <c r="X159" i="27" s="1"/>
  <c r="Y159" i="27" s="1"/>
  <c r="U161" i="27"/>
  <c r="X161" i="27" s="1"/>
  <c r="Y161" i="27" s="1"/>
  <c r="U163" i="27"/>
  <c r="X163" i="27" s="1"/>
  <c r="Y163" i="27" s="1"/>
  <c r="O126" i="27"/>
  <c r="P126" i="27"/>
  <c r="Q126" i="27"/>
  <c r="O127" i="27"/>
  <c r="T127" i="27" s="1"/>
  <c r="P127" i="27"/>
  <c r="Q127" i="27"/>
  <c r="O128" i="27"/>
  <c r="T128" i="27" s="1"/>
  <c r="P128" i="27"/>
  <c r="Q128" i="27"/>
  <c r="O129" i="27"/>
  <c r="T129" i="27" s="1"/>
  <c r="X129" i="27" s="1"/>
  <c r="P129" i="27"/>
  <c r="Q129" i="27"/>
  <c r="O130" i="27"/>
  <c r="P130" i="27"/>
  <c r="Q130" i="27"/>
  <c r="O131" i="27"/>
  <c r="P131" i="27"/>
  <c r="Q131" i="27"/>
  <c r="O132" i="27"/>
  <c r="T132" i="27" s="1"/>
  <c r="P132" i="27"/>
  <c r="Q132" i="27"/>
  <c r="O133" i="27"/>
  <c r="T133" i="27" s="1"/>
  <c r="P133" i="27"/>
  <c r="Q133" i="27"/>
  <c r="O134" i="27"/>
  <c r="T134" i="27" s="1"/>
  <c r="P134" i="27"/>
  <c r="Q134" i="27"/>
  <c r="O135" i="27"/>
  <c r="P135" i="27"/>
  <c r="Q135" i="27"/>
  <c r="O136" i="27"/>
  <c r="P136" i="27"/>
  <c r="Q136" i="27"/>
  <c r="O137" i="27"/>
  <c r="T137" i="27" s="1"/>
  <c r="X137" i="27" s="1"/>
  <c r="P137" i="27"/>
  <c r="Q137" i="27"/>
  <c r="O138" i="27"/>
  <c r="P138" i="27"/>
  <c r="Q138" i="27"/>
  <c r="O139" i="27"/>
  <c r="T139" i="27" s="1"/>
  <c r="P139" i="27"/>
  <c r="Q139" i="27"/>
  <c r="O140" i="27"/>
  <c r="T140" i="27" s="1"/>
  <c r="P140" i="27"/>
  <c r="Q140" i="27"/>
  <c r="O141" i="27"/>
  <c r="T141" i="27" s="1"/>
  <c r="P141" i="27"/>
  <c r="Q141" i="27"/>
  <c r="O142" i="27"/>
  <c r="P142" i="27"/>
  <c r="Q142" i="27"/>
  <c r="O143" i="27"/>
  <c r="T143" i="27" s="1"/>
  <c r="P143" i="27"/>
  <c r="Q143" i="27"/>
  <c r="O144" i="27"/>
  <c r="P144" i="27"/>
  <c r="Q144" i="27"/>
  <c r="O145" i="27"/>
  <c r="T145" i="27" s="1"/>
  <c r="P145" i="27"/>
  <c r="Q145" i="27"/>
  <c r="O146" i="27"/>
  <c r="P146" i="27"/>
  <c r="Q146" i="27"/>
  <c r="O147" i="27"/>
  <c r="T147" i="27" s="1"/>
  <c r="P147" i="27"/>
  <c r="Q147" i="27"/>
  <c r="O148" i="27"/>
  <c r="T148" i="27" s="1"/>
  <c r="P148" i="27"/>
  <c r="Q148" i="27"/>
  <c r="O149" i="27"/>
  <c r="T149" i="27" s="1"/>
  <c r="P149" i="27"/>
  <c r="Q149" i="27"/>
  <c r="O150" i="27"/>
  <c r="P150" i="27"/>
  <c r="Q150" i="27"/>
  <c r="O151" i="27"/>
  <c r="T151" i="27" s="1"/>
  <c r="P151" i="27"/>
  <c r="Q151" i="27"/>
  <c r="O152" i="27"/>
  <c r="P152" i="27"/>
  <c r="Q152" i="27"/>
  <c r="O153" i="27"/>
  <c r="T153" i="27" s="1"/>
  <c r="P153" i="27"/>
  <c r="Q153" i="27"/>
  <c r="O154" i="27"/>
  <c r="P154" i="27"/>
  <c r="Q154" i="27"/>
  <c r="O155" i="27"/>
  <c r="T155" i="27" s="1"/>
  <c r="P155" i="27"/>
  <c r="Q155" i="27"/>
  <c r="M126" i="27"/>
  <c r="N126" i="27" s="1"/>
  <c r="M127" i="27"/>
  <c r="N127" i="27" s="1"/>
  <c r="M128" i="27"/>
  <c r="N128" i="27" s="1"/>
  <c r="M129" i="27"/>
  <c r="N129" i="27" s="1"/>
  <c r="M130" i="27"/>
  <c r="N130" i="27" s="1"/>
  <c r="M131" i="27"/>
  <c r="N131" i="27" s="1"/>
  <c r="M132" i="27"/>
  <c r="N132" i="27" s="1"/>
  <c r="M133" i="27"/>
  <c r="N133" i="27" s="1"/>
  <c r="M134" i="27"/>
  <c r="N134" i="27" s="1"/>
  <c r="M135" i="27"/>
  <c r="N135" i="27" s="1"/>
  <c r="M136" i="27"/>
  <c r="N136" i="27" s="1"/>
  <c r="M137" i="27"/>
  <c r="N137" i="27" s="1"/>
  <c r="M138" i="27"/>
  <c r="N138" i="27" s="1"/>
  <c r="M139" i="27"/>
  <c r="N139" i="27" s="1"/>
  <c r="M140" i="27"/>
  <c r="N140" i="27" s="1"/>
  <c r="M141" i="27"/>
  <c r="N141" i="27" s="1"/>
  <c r="M142" i="27"/>
  <c r="N142" i="27" s="1"/>
  <c r="M143" i="27"/>
  <c r="N143" i="27" s="1"/>
  <c r="M144" i="27"/>
  <c r="N144" i="27" s="1"/>
  <c r="M145" i="27"/>
  <c r="N145" i="27" s="1"/>
  <c r="M146" i="27"/>
  <c r="N146" i="27" s="1"/>
  <c r="M147" i="27"/>
  <c r="N147" i="27" s="1"/>
  <c r="M148" i="27"/>
  <c r="N148" i="27" s="1"/>
  <c r="M149" i="27"/>
  <c r="N149" i="27" s="1"/>
  <c r="M150" i="27"/>
  <c r="N150" i="27" s="1"/>
  <c r="M151" i="27"/>
  <c r="N151" i="27" s="1"/>
  <c r="M152" i="27"/>
  <c r="N152" i="27" s="1"/>
  <c r="M153" i="27"/>
  <c r="N153" i="27" s="1"/>
  <c r="M154" i="27"/>
  <c r="N154" i="27" s="1"/>
  <c r="M155" i="27"/>
  <c r="N155" i="27" s="1"/>
  <c r="S150" i="27" l="1"/>
  <c r="U150" i="27" s="1"/>
  <c r="S142" i="27"/>
  <c r="U142" i="27" s="1"/>
  <c r="S135" i="27"/>
  <c r="U135" i="27" s="1"/>
  <c r="S138" i="27"/>
  <c r="U138" i="27" s="1"/>
  <c r="S131" i="27"/>
  <c r="U131" i="27" s="1"/>
  <c r="S146" i="27"/>
  <c r="U146" i="27" s="1"/>
  <c r="S154" i="27"/>
  <c r="U154" i="27" s="1"/>
  <c r="S152" i="27"/>
  <c r="S144" i="27"/>
  <c r="S136" i="27"/>
  <c r="S130" i="27"/>
  <c r="S126" i="27"/>
  <c r="S149" i="27"/>
  <c r="S141" i="27"/>
  <c r="S134" i="27"/>
  <c r="T154" i="27"/>
  <c r="T146" i="27"/>
  <c r="T138" i="27"/>
  <c r="T131" i="27"/>
  <c r="T130" i="27"/>
  <c r="T152" i="27"/>
  <c r="T136" i="27"/>
  <c r="S148" i="27"/>
  <c r="S140" i="27"/>
  <c r="S133" i="27"/>
  <c r="S128" i="27"/>
  <c r="S151" i="27"/>
  <c r="S143" i="27"/>
  <c r="S129" i="27"/>
  <c r="Y129" i="27" s="1"/>
  <c r="T144" i="27"/>
  <c r="T126" i="27"/>
  <c r="X126" i="27" s="1"/>
  <c r="S153" i="27"/>
  <c r="S145" i="27"/>
  <c r="S137" i="27"/>
  <c r="Y137" i="27" s="1"/>
  <c r="S127" i="27"/>
  <c r="T150" i="27"/>
  <c r="T142" i="27"/>
  <c r="T135" i="27"/>
  <c r="S155" i="27"/>
  <c r="S147" i="27"/>
  <c r="S139" i="27"/>
  <c r="S132" i="27"/>
  <c r="X135" i="27" l="1"/>
  <c r="Y135" i="27" s="1"/>
  <c r="X131" i="27"/>
  <c r="Y131" i="27" s="1"/>
  <c r="X138" i="27"/>
  <c r="Y138" i="27" s="1"/>
  <c r="X146" i="27"/>
  <c r="Y146" i="27" s="1"/>
  <c r="X154" i="27"/>
  <c r="Y154" i="27" s="1"/>
  <c r="U132" i="27"/>
  <c r="X132" i="27" s="1"/>
  <c r="Y132" i="27" s="1"/>
  <c r="U139" i="27"/>
  <c r="X139" i="27" s="1"/>
  <c r="Y139" i="27" s="1"/>
  <c r="U143" i="27"/>
  <c r="X143" i="27" s="1"/>
  <c r="Y143" i="27" s="1"/>
  <c r="U140" i="27"/>
  <c r="X140" i="27" s="1"/>
  <c r="Y140" i="27" s="1"/>
  <c r="U134" i="27"/>
  <c r="X134" i="27" s="1"/>
  <c r="Y134" i="27" s="1"/>
  <c r="U136" i="27"/>
  <c r="X136" i="27" s="1"/>
  <c r="Y136" i="27" s="1"/>
  <c r="X150" i="27"/>
  <c r="Y150" i="27" s="1"/>
  <c r="U127" i="27"/>
  <c r="X127" i="27" s="1"/>
  <c r="Y127" i="27" s="1"/>
  <c r="U133" i="27"/>
  <c r="X133" i="27" s="1"/>
  <c r="Y133" i="27" s="1"/>
  <c r="U147" i="27"/>
  <c r="X147" i="27" s="1"/>
  <c r="Y147" i="27" s="1"/>
  <c r="U151" i="27"/>
  <c r="X151" i="27" s="1"/>
  <c r="Y151" i="27" s="1"/>
  <c r="U144" i="27"/>
  <c r="X144" i="27" s="1"/>
  <c r="Y144" i="27" s="1"/>
  <c r="U155" i="27"/>
  <c r="X155" i="27" s="1"/>
  <c r="Y155" i="27" s="1"/>
  <c r="U145" i="27"/>
  <c r="X145" i="27" s="1"/>
  <c r="Y145" i="27" s="1"/>
  <c r="U149" i="27"/>
  <c r="X149" i="27" s="1"/>
  <c r="Y149" i="27" s="1"/>
  <c r="U152" i="27"/>
  <c r="X152" i="27" s="1"/>
  <c r="Y152" i="27" s="1"/>
  <c r="X142" i="27"/>
  <c r="Y142" i="27" s="1"/>
  <c r="U128" i="27"/>
  <c r="X128" i="27" s="1"/>
  <c r="Y128" i="27" s="1"/>
  <c r="Y126" i="27"/>
  <c r="U130" i="27"/>
  <c r="X130" i="27" s="1"/>
  <c r="Y130" i="27" s="1"/>
  <c r="U148" i="27"/>
  <c r="X148" i="27" s="1"/>
  <c r="Y148" i="27" s="1"/>
  <c r="U141" i="27"/>
  <c r="X141" i="27" s="1"/>
  <c r="Y141" i="27" s="1"/>
  <c r="U153" i="27"/>
  <c r="X153" i="27" s="1"/>
  <c r="Y153" i="27" s="1"/>
  <c r="O120" i="27" l="1"/>
  <c r="P120" i="27"/>
  <c r="Q120" i="27"/>
  <c r="O121" i="27"/>
  <c r="P121" i="27"/>
  <c r="Q121" i="27"/>
  <c r="O122" i="27"/>
  <c r="P122" i="27"/>
  <c r="Q122" i="27"/>
  <c r="O123" i="27"/>
  <c r="P123" i="27"/>
  <c r="Q123" i="27"/>
  <c r="O124" i="27"/>
  <c r="P124" i="27"/>
  <c r="Q124" i="27"/>
  <c r="O125" i="27"/>
  <c r="P125" i="27"/>
  <c r="Q125" i="27"/>
  <c r="M115" i="27"/>
  <c r="N115" i="27" s="1"/>
  <c r="M116" i="27"/>
  <c r="N116" i="27" s="1"/>
  <c r="M117" i="27"/>
  <c r="N117" i="27" s="1"/>
  <c r="M118" i="27"/>
  <c r="N118" i="27" s="1"/>
  <c r="M119" i="27"/>
  <c r="N119" i="27" s="1"/>
  <c r="M120" i="27"/>
  <c r="N120" i="27" s="1"/>
  <c r="M121" i="27"/>
  <c r="N121" i="27" s="1"/>
  <c r="M122" i="27"/>
  <c r="N122" i="27" s="1"/>
  <c r="M123" i="27"/>
  <c r="N123" i="27" s="1"/>
  <c r="M124" i="27"/>
  <c r="N124" i="27" s="1"/>
  <c r="M125" i="27"/>
  <c r="N125" i="27" s="1"/>
  <c r="S123" i="27" l="1"/>
  <c r="U123" i="27" s="1"/>
  <c r="S125" i="27"/>
  <c r="U125" i="27" s="1"/>
  <c r="S122" i="27"/>
  <c r="U122" i="27" s="1"/>
  <c r="S124" i="27"/>
  <c r="U124" i="27" s="1"/>
  <c r="S120" i="27"/>
  <c r="U120" i="27" s="1"/>
  <c r="S121" i="27"/>
  <c r="T125" i="27"/>
  <c r="T124" i="27"/>
  <c r="T123" i="27"/>
  <c r="T122" i="27"/>
  <c r="T121" i="27"/>
  <c r="X121" i="27" s="1"/>
  <c r="T120" i="27"/>
  <c r="X125" i="27" l="1"/>
  <c r="Y125" i="27" s="1"/>
  <c r="X122" i="27"/>
  <c r="Y122" i="27" s="1"/>
  <c r="X124" i="27"/>
  <c r="Y124" i="27" s="1"/>
  <c r="Y121" i="27"/>
  <c r="X120" i="27"/>
  <c r="Y120" i="27" s="1"/>
  <c r="X123" i="27"/>
  <c r="Y123" i="27" s="1"/>
  <c r="O117" i="27" l="1"/>
  <c r="T117" i="27" s="1"/>
  <c r="P117" i="27"/>
  <c r="Q117" i="27"/>
  <c r="O118" i="27"/>
  <c r="P118" i="27"/>
  <c r="Q118" i="27"/>
  <c r="O119" i="27"/>
  <c r="T119" i="27" s="1"/>
  <c r="P119" i="27"/>
  <c r="Q119" i="27"/>
  <c r="S119" i="27" l="1"/>
  <c r="U119" i="27" s="1"/>
  <c r="X119" i="27" s="1"/>
  <c r="Y119" i="27" s="1"/>
  <c r="S118" i="27"/>
  <c r="U118" i="27" s="1"/>
  <c r="S117" i="27"/>
  <c r="U117" i="27" s="1"/>
  <c r="X117" i="27" s="1"/>
  <c r="Y117" i="27" s="1"/>
  <c r="T118" i="27"/>
  <c r="O107" i="27"/>
  <c r="P107" i="27"/>
  <c r="Q107" i="27"/>
  <c r="O108" i="27"/>
  <c r="P108" i="27"/>
  <c r="Q108" i="27"/>
  <c r="O109" i="27"/>
  <c r="P109" i="27"/>
  <c r="Q109" i="27"/>
  <c r="O110" i="27"/>
  <c r="P110" i="27"/>
  <c r="Q110" i="27"/>
  <c r="O111" i="27"/>
  <c r="P111" i="27"/>
  <c r="Q111" i="27"/>
  <c r="O112" i="27"/>
  <c r="P112" i="27"/>
  <c r="Q112" i="27"/>
  <c r="O113" i="27"/>
  <c r="P113" i="27"/>
  <c r="Q113" i="27"/>
  <c r="O114" i="27"/>
  <c r="P114" i="27"/>
  <c r="Q114" i="27"/>
  <c r="O115" i="27"/>
  <c r="P115" i="27"/>
  <c r="Q115" i="27"/>
  <c r="O116" i="27"/>
  <c r="P116" i="27"/>
  <c r="Q116" i="27"/>
  <c r="M107" i="27"/>
  <c r="N107" i="27" s="1"/>
  <c r="M108" i="27"/>
  <c r="N108" i="27" s="1"/>
  <c r="M109" i="27"/>
  <c r="N109" i="27" s="1"/>
  <c r="M110" i="27"/>
  <c r="N110" i="27" s="1"/>
  <c r="M111" i="27"/>
  <c r="N111" i="27" s="1"/>
  <c r="M112" i="27"/>
  <c r="N112" i="27" s="1"/>
  <c r="M113" i="27"/>
  <c r="N113" i="27" s="1"/>
  <c r="M114" i="27"/>
  <c r="N114" i="27" s="1"/>
  <c r="X118" i="27" l="1"/>
  <c r="Y118" i="27" s="1"/>
  <c r="S107" i="27"/>
  <c r="U107" i="27" s="1"/>
  <c r="S116" i="27"/>
  <c r="U116" i="27" s="1"/>
  <c r="S111" i="27"/>
  <c r="U111" i="27" s="1"/>
  <c r="S108" i="27"/>
  <c r="U108" i="27" s="1"/>
  <c r="S114" i="27"/>
  <c r="U114" i="27" s="1"/>
  <c r="S110" i="27"/>
  <c r="U110" i="27" s="1"/>
  <c r="S113" i="27"/>
  <c r="S112" i="27"/>
  <c r="S109" i="27"/>
  <c r="U109" i="27" s="1"/>
  <c r="S115" i="27"/>
  <c r="U115" i="27" s="1"/>
  <c r="T111" i="27"/>
  <c r="T110" i="27"/>
  <c r="T109" i="27"/>
  <c r="T108" i="27"/>
  <c r="T107" i="27"/>
  <c r="T116" i="27"/>
  <c r="T115" i="27"/>
  <c r="T114" i="27"/>
  <c r="T113" i="27"/>
  <c r="T112" i="27"/>
  <c r="X114" i="27" l="1"/>
  <c r="Y114" i="27" s="1"/>
  <c r="X112" i="27"/>
  <c r="Y112" i="27" s="1"/>
  <c r="X116" i="27"/>
  <c r="Y116" i="27" s="1"/>
  <c r="X113" i="27"/>
  <c r="Y113" i="27" s="1"/>
  <c r="X108" i="27"/>
  <c r="Y108" i="27" s="1"/>
  <c r="X110" i="27"/>
  <c r="Y110" i="27" s="1"/>
  <c r="X115" i="27"/>
  <c r="Y115" i="27" s="1"/>
  <c r="X107" i="27"/>
  <c r="Y107" i="27" s="1"/>
  <c r="X111" i="27"/>
  <c r="Y111" i="27" s="1"/>
  <c r="X109" i="27"/>
  <c r="Y109" i="27" s="1"/>
  <c r="X8" i="27" l="1"/>
  <c r="X9" i="27"/>
  <c r="X57" i="27"/>
  <c r="O101" i="27"/>
  <c r="T101" i="27" s="1"/>
  <c r="X101" i="27" s="1"/>
  <c r="P101" i="27"/>
  <c r="Q101" i="27"/>
  <c r="O102" i="27"/>
  <c r="T102" i="27" s="1"/>
  <c r="P102" i="27"/>
  <c r="Q102" i="27"/>
  <c r="O103" i="27"/>
  <c r="T103" i="27" s="1"/>
  <c r="P103" i="27"/>
  <c r="Q103" i="27"/>
  <c r="O104" i="27"/>
  <c r="T104" i="27" s="1"/>
  <c r="X104" i="27" s="1"/>
  <c r="P104" i="27"/>
  <c r="Q104" i="27"/>
  <c r="O105" i="27"/>
  <c r="P105" i="27"/>
  <c r="Q105" i="27"/>
  <c r="O106" i="27"/>
  <c r="T106" i="27" s="1"/>
  <c r="P106" i="27"/>
  <c r="Q106" i="27"/>
  <c r="M101" i="27"/>
  <c r="N101" i="27" s="1"/>
  <c r="M102" i="27"/>
  <c r="N102" i="27" s="1"/>
  <c r="M103" i="27"/>
  <c r="N103" i="27" s="1"/>
  <c r="M104" i="27"/>
  <c r="N104" i="27" s="1"/>
  <c r="M105" i="27"/>
  <c r="N105" i="27" s="1"/>
  <c r="M106" i="27"/>
  <c r="N106" i="27" s="1"/>
  <c r="S101" i="27" l="1"/>
  <c r="Y101" i="27" s="1"/>
  <c r="S104" i="27"/>
  <c r="Y104" i="27" s="1"/>
  <c r="S106" i="27"/>
  <c r="U106" i="27" s="1"/>
  <c r="X106" i="27" s="1"/>
  <c r="Y106" i="27" s="1"/>
  <c r="S105" i="27"/>
  <c r="T105" i="27"/>
  <c r="S103" i="27"/>
  <c r="X103" i="27" s="1"/>
  <c r="Y103" i="27" s="1"/>
  <c r="S102" i="27"/>
  <c r="U105" i="27" l="1"/>
  <c r="X105" i="27" s="1"/>
  <c r="Y105" i="27" s="1"/>
  <c r="U102" i="27"/>
  <c r="X102" i="27" s="1"/>
  <c r="Y102" i="27" s="1"/>
  <c r="O8" i="27" l="1"/>
  <c r="P8" i="27"/>
  <c r="Q8" i="27"/>
  <c r="O9" i="27"/>
  <c r="P9" i="27"/>
  <c r="Q9" i="27"/>
  <c r="O10" i="27"/>
  <c r="P10" i="27"/>
  <c r="Q10" i="27"/>
  <c r="O11" i="27"/>
  <c r="P11" i="27"/>
  <c r="Q11" i="27"/>
  <c r="O12" i="27"/>
  <c r="P12" i="27"/>
  <c r="Q12" i="27"/>
  <c r="O13" i="27"/>
  <c r="P13" i="27"/>
  <c r="Q13" i="27"/>
  <c r="O14" i="27"/>
  <c r="P14" i="27"/>
  <c r="Q14" i="27"/>
  <c r="O15" i="27"/>
  <c r="P15" i="27"/>
  <c r="Q15" i="27"/>
  <c r="O16" i="27"/>
  <c r="P16" i="27"/>
  <c r="Q16" i="27"/>
  <c r="O17" i="27"/>
  <c r="P17" i="27"/>
  <c r="Q17" i="27"/>
  <c r="O18" i="27"/>
  <c r="P18" i="27"/>
  <c r="Q18" i="27"/>
  <c r="O19" i="27"/>
  <c r="P19" i="27"/>
  <c r="Q19" i="27"/>
  <c r="O20" i="27"/>
  <c r="P20" i="27"/>
  <c r="Q20" i="27"/>
  <c r="O21" i="27"/>
  <c r="P21" i="27"/>
  <c r="Q21" i="27"/>
  <c r="O22" i="27"/>
  <c r="P22" i="27"/>
  <c r="Q22" i="27"/>
  <c r="O23" i="27"/>
  <c r="P23" i="27"/>
  <c r="Q23" i="27"/>
  <c r="O24" i="27"/>
  <c r="P24" i="27"/>
  <c r="Q24" i="27"/>
  <c r="O25" i="27"/>
  <c r="P25" i="27"/>
  <c r="Q25" i="27"/>
  <c r="O26" i="27"/>
  <c r="P26" i="27"/>
  <c r="Q26" i="27"/>
  <c r="O27" i="27"/>
  <c r="P27" i="27"/>
  <c r="Q27" i="27"/>
  <c r="O28" i="27"/>
  <c r="P28" i="27"/>
  <c r="Q28" i="27"/>
  <c r="O29" i="27"/>
  <c r="P29" i="27"/>
  <c r="Q29" i="27"/>
  <c r="O30" i="27"/>
  <c r="P30" i="27"/>
  <c r="Q30" i="27"/>
  <c r="O31" i="27"/>
  <c r="P31" i="27"/>
  <c r="Q31" i="27"/>
  <c r="O32" i="27"/>
  <c r="P32" i="27"/>
  <c r="Q32" i="27"/>
  <c r="O33" i="27"/>
  <c r="P33" i="27"/>
  <c r="Q33" i="27"/>
  <c r="O34" i="27"/>
  <c r="P34" i="27"/>
  <c r="Q34" i="27"/>
  <c r="O35" i="27"/>
  <c r="P35" i="27"/>
  <c r="Q35" i="27"/>
  <c r="O36" i="27"/>
  <c r="P36" i="27"/>
  <c r="Q36" i="27"/>
  <c r="O37" i="27"/>
  <c r="P37" i="27"/>
  <c r="Q37" i="27"/>
  <c r="O38" i="27"/>
  <c r="P38" i="27"/>
  <c r="Q38" i="27"/>
  <c r="O39" i="27"/>
  <c r="P39" i="27"/>
  <c r="Q39" i="27"/>
  <c r="O41" i="27"/>
  <c r="P41" i="27"/>
  <c r="Q41" i="27"/>
  <c r="O42" i="27"/>
  <c r="P42" i="27"/>
  <c r="Q42" i="27"/>
  <c r="O43" i="27"/>
  <c r="P43" i="27"/>
  <c r="Q43" i="27"/>
  <c r="O44" i="27"/>
  <c r="P44" i="27"/>
  <c r="Q44" i="27"/>
  <c r="O45" i="27"/>
  <c r="P45" i="27"/>
  <c r="Q45" i="27"/>
  <c r="O46" i="27"/>
  <c r="P46" i="27"/>
  <c r="Q46" i="27"/>
  <c r="O47" i="27"/>
  <c r="P47" i="27"/>
  <c r="Q47" i="27"/>
  <c r="O48" i="27"/>
  <c r="P48" i="27"/>
  <c r="Q48" i="27"/>
  <c r="O49" i="27"/>
  <c r="P49" i="27"/>
  <c r="Q49" i="27"/>
  <c r="O50" i="27"/>
  <c r="P50" i="27"/>
  <c r="Q50" i="27"/>
  <c r="O51" i="27"/>
  <c r="P51" i="27"/>
  <c r="Q51" i="27"/>
  <c r="O52" i="27"/>
  <c r="P52" i="27"/>
  <c r="Q52" i="27"/>
  <c r="O53" i="27"/>
  <c r="P53" i="27"/>
  <c r="Q53" i="27"/>
  <c r="O54" i="27"/>
  <c r="P54" i="27"/>
  <c r="Q54" i="27"/>
  <c r="O55" i="27"/>
  <c r="P55" i="27"/>
  <c r="Q55" i="27"/>
  <c r="O56" i="27"/>
  <c r="P56" i="27"/>
  <c r="Q56" i="27"/>
  <c r="O57" i="27"/>
  <c r="P57" i="27"/>
  <c r="Q57" i="27"/>
  <c r="O58" i="27"/>
  <c r="P58" i="27"/>
  <c r="Q58" i="27"/>
  <c r="O59" i="27"/>
  <c r="P59" i="27"/>
  <c r="Q59" i="27"/>
  <c r="O60" i="27"/>
  <c r="P60" i="27"/>
  <c r="Q60" i="27"/>
  <c r="O61" i="27"/>
  <c r="P61" i="27"/>
  <c r="Q61" i="27"/>
  <c r="O62" i="27"/>
  <c r="P62" i="27"/>
  <c r="Q62" i="27"/>
  <c r="O63" i="27"/>
  <c r="P63" i="27"/>
  <c r="Q63" i="27"/>
  <c r="O64" i="27"/>
  <c r="P64" i="27"/>
  <c r="Q64" i="27"/>
  <c r="O65" i="27"/>
  <c r="P65" i="27"/>
  <c r="Q65" i="27"/>
  <c r="O66" i="27"/>
  <c r="P66" i="27"/>
  <c r="Q66" i="27"/>
  <c r="O67" i="27"/>
  <c r="P67" i="27"/>
  <c r="Q67" i="27"/>
  <c r="O68" i="27"/>
  <c r="P68" i="27"/>
  <c r="Q68" i="27"/>
  <c r="O69" i="27"/>
  <c r="P69" i="27"/>
  <c r="Q69" i="27"/>
  <c r="O70" i="27"/>
  <c r="P70" i="27"/>
  <c r="Q70" i="27"/>
  <c r="O71" i="27"/>
  <c r="P71" i="27"/>
  <c r="Q71" i="27"/>
  <c r="O72" i="27"/>
  <c r="P72" i="27"/>
  <c r="Q72" i="27"/>
  <c r="O73" i="27"/>
  <c r="P73" i="27"/>
  <c r="Q73" i="27"/>
  <c r="O74" i="27"/>
  <c r="P74" i="27"/>
  <c r="Q74" i="27"/>
  <c r="O75" i="27"/>
  <c r="P75" i="27"/>
  <c r="Q75" i="27"/>
  <c r="O76" i="27"/>
  <c r="P76" i="27"/>
  <c r="Q76" i="27"/>
  <c r="O77" i="27"/>
  <c r="P77" i="27"/>
  <c r="Q77" i="27"/>
  <c r="O78" i="27"/>
  <c r="P78" i="27"/>
  <c r="Q78" i="27"/>
  <c r="O79" i="27"/>
  <c r="P79" i="27"/>
  <c r="Q79" i="27"/>
  <c r="O80" i="27"/>
  <c r="P80" i="27"/>
  <c r="Q80" i="27"/>
  <c r="O81" i="27"/>
  <c r="P81" i="27"/>
  <c r="Q81" i="27"/>
  <c r="O82" i="27"/>
  <c r="P82" i="27"/>
  <c r="Q82" i="27"/>
  <c r="O83" i="27"/>
  <c r="P83" i="27"/>
  <c r="Q83" i="27"/>
  <c r="O84" i="27"/>
  <c r="P84" i="27"/>
  <c r="Q84" i="27"/>
  <c r="O85" i="27"/>
  <c r="P85" i="27"/>
  <c r="Q85" i="27"/>
  <c r="O86" i="27"/>
  <c r="P86" i="27"/>
  <c r="Q86" i="27"/>
  <c r="O87" i="27"/>
  <c r="P87" i="27"/>
  <c r="Q87" i="27"/>
  <c r="O88" i="27"/>
  <c r="P88" i="27"/>
  <c r="Q88" i="27"/>
  <c r="O89" i="27"/>
  <c r="P89" i="27"/>
  <c r="Q89" i="27"/>
  <c r="O90" i="27"/>
  <c r="P90" i="27"/>
  <c r="Q90" i="27"/>
  <c r="O91" i="27"/>
  <c r="P91" i="27"/>
  <c r="Q91" i="27"/>
  <c r="O92" i="27"/>
  <c r="P92" i="27"/>
  <c r="Q92" i="27"/>
  <c r="O93" i="27"/>
  <c r="P93" i="27"/>
  <c r="Q93" i="27"/>
  <c r="O94" i="27"/>
  <c r="P94" i="27"/>
  <c r="Q94" i="27"/>
  <c r="O95" i="27"/>
  <c r="P95" i="27"/>
  <c r="Q95" i="27"/>
  <c r="O96" i="27"/>
  <c r="T96" i="27" s="1"/>
  <c r="X96" i="27" s="1"/>
  <c r="P96" i="27"/>
  <c r="Q96" i="27"/>
  <c r="O97" i="27"/>
  <c r="P97" i="27"/>
  <c r="Q97" i="27"/>
  <c r="O98" i="27"/>
  <c r="P98" i="27"/>
  <c r="Q98" i="27"/>
  <c r="O99" i="27"/>
  <c r="P99" i="27"/>
  <c r="Q99" i="27"/>
  <c r="O100" i="27"/>
  <c r="P100" i="27"/>
  <c r="Q100" i="27"/>
  <c r="M96" i="27"/>
  <c r="N96" i="27" s="1"/>
  <c r="M97" i="27"/>
  <c r="N97" i="27" s="1"/>
  <c r="M98" i="27"/>
  <c r="N98" i="27" s="1"/>
  <c r="M99" i="27"/>
  <c r="N99" i="27" s="1"/>
  <c r="M100" i="27"/>
  <c r="N100" i="27" s="1"/>
  <c r="S85" i="27" l="1"/>
  <c r="S39" i="27"/>
  <c r="S45" i="27"/>
  <c r="S11" i="27"/>
  <c r="S74" i="27"/>
  <c r="S19" i="27"/>
  <c r="S69" i="27"/>
  <c r="S47" i="27"/>
  <c r="S33" i="27"/>
  <c r="S60" i="27"/>
  <c r="S75" i="27"/>
  <c r="S98" i="27"/>
  <c r="S97" i="27"/>
  <c r="S94" i="27"/>
  <c r="S92" i="27"/>
  <c r="S90" i="27"/>
  <c r="S80" i="27"/>
  <c r="S78" i="27"/>
  <c r="S66" i="27"/>
  <c r="S99" i="27"/>
  <c r="S95" i="27"/>
  <c r="S93" i="27"/>
  <c r="S71" i="27"/>
  <c r="S28" i="27"/>
  <c r="S24" i="27"/>
  <c r="S21" i="27"/>
  <c r="T99" i="27"/>
  <c r="S65" i="27"/>
  <c r="S30" i="27"/>
  <c r="S10" i="27"/>
  <c r="T98" i="27"/>
  <c r="S100" i="27"/>
  <c r="S91" i="27"/>
  <c r="S88" i="27"/>
  <c r="S82" i="27"/>
  <c r="S18" i="27"/>
  <c r="S13" i="27"/>
  <c r="S8" i="27"/>
  <c r="Y8" i="27" s="1"/>
  <c r="S83" i="27"/>
  <c r="S76" i="27"/>
  <c r="T100" i="27"/>
  <c r="S72" i="27"/>
  <c r="S64" i="27"/>
  <c r="S87" i="27"/>
  <c r="S81" i="27"/>
  <c r="T97" i="27"/>
  <c r="S67" i="27"/>
  <c r="S57" i="27"/>
  <c r="Y57" i="27" s="1"/>
  <c r="S35" i="27"/>
  <c r="S22" i="27"/>
  <c r="U22" i="27" s="1"/>
  <c r="S9" i="27"/>
  <c r="Y9" i="27" s="1"/>
  <c r="S62" i="27"/>
  <c r="S59" i="27"/>
  <c r="S56" i="27"/>
  <c r="S55" i="27"/>
  <c r="S54" i="27"/>
  <c r="S52" i="27"/>
  <c r="S51" i="27"/>
  <c r="S49" i="27"/>
  <c r="S48" i="27"/>
  <c r="S46" i="27"/>
  <c r="S43" i="27"/>
  <c r="S42" i="27"/>
  <c r="S41" i="27"/>
  <c r="S38" i="27"/>
  <c r="S37" i="27"/>
  <c r="S36" i="27"/>
  <c r="S34" i="27"/>
  <c r="S27" i="27"/>
  <c r="S26" i="27"/>
  <c r="S23" i="27"/>
  <c r="S17" i="27"/>
  <c r="S16" i="27"/>
  <c r="S14" i="27"/>
  <c r="S12" i="27"/>
  <c r="S84" i="27"/>
  <c r="S77" i="27"/>
  <c r="S68" i="27"/>
  <c r="S50" i="27"/>
  <c r="S29" i="27"/>
  <c r="S20" i="27"/>
  <c r="S86" i="27"/>
  <c r="S70" i="27"/>
  <c r="S58" i="27"/>
  <c r="S96" i="27"/>
  <c r="Y96" i="27" s="1"/>
  <c r="S89" i="27"/>
  <c r="S79" i="27"/>
  <c r="S73" i="27"/>
  <c r="S61" i="27"/>
  <c r="S53" i="27"/>
  <c r="S31" i="27"/>
  <c r="S25" i="27"/>
  <c r="S15" i="27"/>
  <c r="S63" i="27"/>
  <c r="S44" i="27"/>
  <c r="S32" i="27"/>
  <c r="U98" i="27" l="1"/>
  <c r="X98" i="27" s="1"/>
  <c r="Y98" i="27" s="1"/>
  <c r="U99" i="27"/>
  <c r="X99" i="27" s="1"/>
  <c r="Y99" i="27" s="1"/>
  <c r="U97" i="27"/>
  <c r="X97" i="27" s="1"/>
  <c r="Y97" i="27" s="1"/>
  <c r="U100" i="27"/>
  <c r="X100" i="27" s="1"/>
  <c r="Y100" i="27" s="1"/>
  <c r="U95" i="27" l="1"/>
  <c r="U94" i="27"/>
  <c r="U93" i="27"/>
  <c r="T95" i="27"/>
  <c r="T94" i="27"/>
  <c r="T93" i="27"/>
  <c r="T92" i="27"/>
  <c r="X92" i="27" s="1"/>
  <c r="Y92" i="27" s="1"/>
  <c r="T91" i="27"/>
  <c r="X91" i="27" s="1"/>
  <c r="Y91" i="27" s="1"/>
  <c r="T90" i="27"/>
  <c r="X93" i="27" l="1"/>
  <c r="Y93" i="27" s="1"/>
  <c r="X94" i="27"/>
  <c r="Y94" i="27" s="1"/>
  <c r="X95" i="27"/>
  <c r="Y95" i="27" s="1"/>
  <c r="X90" i="27"/>
  <c r="Y90" i="27" s="1"/>
  <c r="M90" i="27"/>
  <c r="N90" i="27" s="1"/>
  <c r="M91" i="27"/>
  <c r="N91" i="27" s="1"/>
  <c r="M92" i="27"/>
  <c r="N92" i="27" s="1"/>
  <c r="M93" i="27"/>
  <c r="N93" i="27" s="1"/>
  <c r="M94" i="27"/>
  <c r="N94" i="27" s="1"/>
  <c r="M95" i="27"/>
  <c r="N95" i="27" s="1"/>
  <c r="M89" i="27" l="1"/>
  <c r="T86" i="27" l="1"/>
  <c r="T87" i="27"/>
  <c r="T89" i="27"/>
  <c r="M86" i="27"/>
  <c r="N86" i="27" s="1"/>
  <c r="M87" i="27"/>
  <c r="N87" i="27" s="1"/>
  <c r="M88" i="27"/>
  <c r="N88" i="27" s="1"/>
  <c r="N89" i="27"/>
  <c r="T88" i="27" l="1"/>
  <c r="U88" i="27" l="1"/>
  <c r="X88" i="27" s="1"/>
  <c r="Y88" i="27" s="1"/>
  <c r="X87" i="27"/>
  <c r="Y87" i="27" s="1"/>
  <c r="X89" i="27"/>
  <c r="Y89" i="27" s="1"/>
  <c r="X86" i="27"/>
  <c r="Y86" i="27" s="1"/>
  <c r="T84" i="27"/>
  <c r="T85" i="27"/>
  <c r="M83" i="27"/>
  <c r="N83" i="27" s="1"/>
  <c r="M84" i="27"/>
  <c r="N84" i="27" s="1"/>
  <c r="M85" i="27"/>
  <c r="N85" i="27" s="1"/>
  <c r="T83" i="27" l="1"/>
  <c r="X83" i="27" s="1"/>
  <c r="Y83" i="27" s="1"/>
  <c r="M8" i="27"/>
  <c r="N8" i="27" s="1"/>
  <c r="M9" i="27"/>
  <c r="N9" i="27" s="1"/>
  <c r="M10" i="27"/>
  <c r="N10" i="27" s="1"/>
  <c r="M11" i="27"/>
  <c r="N11" i="27" s="1"/>
  <c r="M12" i="27"/>
  <c r="N12" i="27" s="1"/>
  <c r="M13" i="27"/>
  <c r="N13" i="27" s="1"/>
  <c r="M14" i="27"/>
  <c r="N14" i="27" s="1"/>
  <c r="M15" i="27"/>
  <c r="N15" i="27" s="1"/>
  <c r="M16" i="27"/>
  <c r="N16" i="27" s="1"/>
  <c r="M17" i="27"/>
  <c r="N17" i="27" s="1"/>
  <c r="M18" i="27"/>
  <c r="N18" i="27" s="1"/>
  <c r="M19" i="27"/>
  <c r="N19" i="27" s="1"/>
  <c r="M20" i="27"/>
  <c r="N20" i="27" s="1"/>
  <c r="M21" i="27"/>
  <c r="N21" i="27" s="1"/>
  <c r="M22" i="27"/>
  <c r="N22" i="27" s="1"/>
  <c r="M23" i="27"/>
  <c r="N23" i="27" s="1"/>
  <c r="M24" i="27"/>
  <c r="N24" i="27" s="1"/>
  <c r="M25" i="27"/>
  <c r="N25" i="27" s="1"/>
  <c r="M26" i="27"/>
  <c r="N26" i="27" s="1"/>
  <c r="M27" i="27"/>
  <c r="N27" i="27" s="1"/>
  <c r="M28" i="27"/>
  <c r="N28" i="27" s="1"/>
  <c r="M29" i="27"/>
  <c r="N29" i="27" s="1"/>
  <c r="M30" i="27"/>
  <c r="N30" i="27" s="1"/>
  <c r="M31" i="27"/>
  <c r="N31" i="27" s="1"/>
  <c r="M32" i="27"/>
  <c r="N32" i="27" s="1"/>
  <c r="M33" i="27"/>
  <c r="N33" i="27" s="1"/>
  <c r="M34" i="27"/>
  <c r="N34" i="27" s="1"/>
  <c r="M35" i="27"/>
  <c r="N35" i="27" s="1"/>
  <c r="M36" i="27"/>
  <c r="N36" i="27" s="1"/>
  <c r="M37" i="27"/>
  <c r="N37" i="27" s="1"/>
  <c r="M38" i="27"/>
  <c r="N38" i="27" s="1"/>
  <c r="M39" i="27"/>
  <c r="N39" i="27" s="1"/>
  <c r="M41" i="27"/>
  <c r="N41" i="27" s="1"/>
  <c r="M42" i="27"/>
  <c r="N42" i="27" s="1"/>
  <c r="M43" i="27"/>
  <c r="N43" i="27" s="1"/>
  <c r="M44" i="27"/>
  <c r="N44" i="27" s="1"/>
  <c r="M45" i="27"/>
  <c r="N45" i="27" s="1"/>
  <c r="M46" i="27"/>
  <c r="N46" i="27" s="1"/>
  <c r="M47" i="27"/>
  <c r="N47" i="27" s="1"/>
  <c r="M48" i="27"/>
  <c r="N48" i="27" s="1"/>
  <c r="M49" i="27"/>
  <c r="N49" i="27" s="1"/>
  <c r="M50" i="27"/>
  <c r="N50" i="27" s="1"/>
  <c r="M51" i="27"/>
  <c r="N51" i="27" s="1"/>
  <c r="M52" i="27"/>
  <c r="N52" i="27" s="1"/>
  <c r="M53" i="27"/>
  <c r="N53" i="27" s="1"/>
  <c r="M54" i="27"/>
  <c r="N54" i="27" s="1"/>
  <c r="M55" i="27"/>
  <c r="N55" i="27" s="1"/>
  <c r="M56" i="27"/>
  <c r="N56" i="27" s="1"/>
  <c r="M57" i="27"/>
  <c r="N57" i="27" s="1"/>
  <c r="M58" i="27"/>
  <c r="N58" i="27" s="1"/>
  <c r="M59" i="27"/>
  <c r="N59" i="27" s="1"/>
  <c r="M60" i="27"/>
  <c r="N60" i="27" s="1"/>
  <c r="M61" i="27"/>
  <c r="N61" i="27" s="1"/>
  <c r="M62" i="27"/>
  <c r="N62" i="27" s="1"/>
  <c r="M63" i="27"/>
  <c r="N63" i="27" s="1"/>
  <c r="M64" i="27"/>
  <c r="N64" i="27" s="1"/>
  <c r="M65" i="27"/>
  <c r="N65" i="27" s="1"/>
  <c r="M66" i="27"/>
  <c r="N66" i="27" s="1"/>
  <c r="M67" i="27"/>
  <c r="N67" i="27" s="1"/>
  <c r="M68" i="27"/>
  <c r="N68" i="27" s="1"/>
  <c r="M69" i="27"/>
  <c r="N69" i="27" s="1"/>
  <c r="M70" i="27"/>
  <c r="N70" i="27" s="1"/>
  <c r="M71" i="27"/>
  <c r="N71" i="27" s="1"/>
  <c r="M72" i="27"/>
  <c r="N72" i="27" s="1"/>
  <c r="M73" i="27"/>
  <c r="N73" i="27" s="1"/>
  <c r="M74" i="27"/>
  <c r="N74" i="27" s="1"/>
  <c r="M75" i="27"/>
  <c r="N75" i="27" s="1"/>
  <c r="M76" i="27"/>
  <c r="N76" i="27" s="1"/>
  <c r="M77" i="27"/>
  <c r="N77" i="27" s="1"/>
  <c r="M78" i="27"/>
  <c r="N78" i="27" s="1"/>
  <c r="M79" i="27"/>
  <c r="N79" i="27" s="1"/>
  <c r="M80" i="27"/>
  <c r="N80" i="27" s="1"/>
  <c r="M81" i="27"/>
  <c r="N81" i="27" s="1"/>
  <c r="M82" i="27"/>
  <c r="N82" i="27" s="1"/>
  <c r="U85" i="27" l="1"/>
  <c r="X85" i="27" s="1"/>
  <c r="Y85" i="27" s="1"/>
  <c r="U84" i="27"/>
  <c r="X84" i="27" s="1"/>
  <c r="Y84" i="27" s="1"/>
  <c r="T82" i="27" l="1"/>
  <c r="T80" i="27"/>
  <c r="T81" i="27"/>
  <c r="U80" i="27" l="1"/>
  <c r="X80" i="27" s="1"/>
  <c r="Y80" i="27" s="1"/>
  <c r="U82" i="27"/>
  <c r="X82" i="27" s="1"/>
  <c r="Y82" i="27" s="1"/>
  <c r="U81" i="27"/>
  <c r="X81" i="27" s="1"/>
  <c r="Y81" i="27" s="1"/>
  <c r="M7" i="27" l="1"/>
  <c r="N7" i="27" s="1"/>
  <c r="N188" i="27" s="1"/>
  <c r="T11" i="27" l="1"/>
  <c r="X11" i="27" l="1"/>
  <c r="T78" i="27"/>
  <c r="X78" i="27" s="1"/>
  <c r="Y78" i="27" s="1"/>
  <c r="T79" i="27"/>
  <c r="X79" i="27" s="1"/>
  <c r="Y79" i="27" s="1"/>
  <c r="Y11" i="27" l="1"/>
  <c r="T74" i="27"/>
  <c r="X74" i="27" s="1"/>
  <c r="Y74" i="27" s="1"/>
  <c r="T75" i="27"/>
  <c r="X75" i="27" s="1"/>
  <c r="Y75" i="27" s="1"/>
  <c r="T77" i="27"/>
  <c r="X77" i="27" s="1"/>
  <c r="Y77" i="27" s="1"/>
  <c r="T76" i="27" l="1"/>
  <c r="U76" i="27" l="1"/>
  <c r="X76" i="27" s="1"/>
  <c r="Y76" i="27" s="1"/>
  <c r="T72" i="27" l="1"/>
  <c r="T71" i="27" l="1"/>
  <c r="T73" i="27"/>
  <c r="X71" i="27" l="1"/>
  <c r="Y71" i="27" s="1"/>
  <c r="X73" i="27"/>
  <c r="Y73" i="27" s="1"/>
  <c r="X72" i="27"/>
  <c r="Y72" i="27" s="1"/>
  <c r="T68" i="27"/>
  <c r="T67" i="27" l="1"/>
  <c r="T69" i="27"/>
  <c r="X68" i="27"/>
  <c r="Y68" i="27" s="1"/>
  <c r="T70" i="27"/>
  <c r="X70" i="27" s="1"/>
  <c r="Y70" i="27" s="1"/>
  <c r="X69" i="27" l="1"/>
  <c r="Y69" i="27" s="1"/>
  <c r="X67" i="27"/>
  <c r="Y67" i="27" s="1"/>
  <c r="T65" i="27"/>
  <c r="X65" i="27" s="1"/>
  <c r="Y65" i="27" s="1"/>
  <c r="T66" i="27" l="1"/>
  <c r="X66" i="27" l="1"/>
  <c r="Y66" i="27" s="1"/>
  <c r="Q7" i="27"/>
  <c r="Q188" i="27" s="1"/>
  <c r="P7" i="27"/>
  <c r="P188" i="27" s="1"/>
  <c r="O7" i="27"/>
  <c r="O188" i="27" s="1"/>
  <c r="S7" i="27" l="1"/>
  <c r="S188" i="27" s="1"/>
  <c r="T62" i="27" l="1"/>
  <c r="T64" i="27" l="1"/>
  <c r="T63" i="27"/>
  <c r="X63" i="27" l="1"/>
  <c r="Y63" i="27" s="1"/>
  <c r="X64" i="27"/>
  <c r="Y64" i="27" s="1"/>
  <c r="X62" i="27"/>
  <c r="Y62" i="27" s="1"/>
  <c r="T60" i="27" l="1"/>
  <c r="X60" i="27" s="1"/>
  <c r="Y60" i="27" s="1"/>
  <c r="T61" i="27"/>
  <c r="X61" i="27" s="1"/>
  <c r="Y61" i="27" s="1"/>
  <c r="T59" i="27" l="1"/>
  <c r="X59" i="27" s="1"/>
  <c r="Y59" i="27" s="1"/>
  <c r="T58" i="27" l="1"/>
  <c r="X58" i="27" s="1"/>
  <c r="Y58" i="27" s="1"/>
  <c r="T56" i="27"/>
  <c r="X56" i="27" s="1"/>
  <c r="Y56" i="27" s="1"/>
  <c r="T44" i="27" l="1"/>
  <c r="X44" i="27" s="1"/>
  <c r="Y44" i="27" s="1"/>
  <c r="T55" i="27" l="1"/>
  <c r="X55" i="27" s="1"/>
  <c r="Y55" i="27" s="1"/>
  <c r="T54" i="27" l="1"/>
  <c r="X54" i="27" s="1"/>
  <c r="Y54" i="27" s="1"/>
  <c r="T51" i="27"/>
  <c r="X51" i="27" s="1"/>
  <c r="Y51" i="27" s="1"/>
  <c r="T52" i="27"/>
  <c r="X52" i="27" s="1"/>
  <c r="Y52" i="27" s="1"/>
  <c r="T53" i="27" l="1"/>
  <c r="X53" i="27" l="1"/>
  <c r="Y53" i="27" s="1"/>
  <c r="T50" i="27" l="1"/>
  <c r="X7" i="27"/>
  <c r="T48" i="27"/>
  <c r="X48" i="27" s="1"/>
  <c r="Y48" i="27" s="1"/>
  <c r="T49" i="27"/>
  <c r="X50" i="27" l="1"/>
  <c r="Y50" i="27" s="1"/>
  <c r="X49" i="27"/>
  <c r="Y49" i="27" s="1"/>
  <c r="T23" i="27" l="1"/>
  <c r="X23" i="27" s="1"/>
  <c r="Y23" i="27" s="1"/>
  <c r="T47" i="27" l="1"/>
  <c r="X47" i="27" s="1"/>
  <c r="Y47" i="27" s="1"/>
  <c r="T45" i="27" l="1"/>
  <c r="T46" i="27"/>
  <c r="X46" i="27" l="1"/>
  <c r="Y46" i="27" s="1"/>
  <c r="X45" i="27"/>
  <c r="Y45" i="27" s="1"/>
  <c r="T43" i="27" l="1"/>
  <c r="X43" i="27" s="1"/>
  <c r="Y43" i="27" s="1"/>
  <c r="T31" i="27" l="1"/>
  <c r="X31" i="27" s="1"/>
  <c r="Y31" i="27" s="1"/>
  <c r="T29" i="27"/>
  <c r="X29" i="27" s="1"/>
  <c r="Y29" i="27" s="1"/>
  <c r="T24" i="27"/>
  <c r="X24" i="27" s="1"/>
  <c r="Y24" i="27" s="1"/>
  <c r="T18" i="27"/>
  <c r="X18" i="27" s="1"/>
  <c r="Y18" i="27" s="1"/>
  <c r="T17" i="27"/>
  <c r="X17" i="27" s="1"/>
  <c r="Y17" i="27" s="1"/>
  <c r="T16" i="27"/>
  <c r="X16" i="27" s="1"/>
  <c r="Y16" i="27" s="1"/>
  <c r="T15" i="27"/>
  <c r="X15" i="27" s="1"/>
  <c r="Y15" i="27" s="1"/>
  <c r="T13" i="27"/>
  <c r="X13" i="27" s="1"/>
  <c r="Y13" i="27" s="1"/>
  <c r="T12" i="27"/>
  <c r="X12" i="27" l="1"/>
  <c r="X10" i="27"/>
  <c r="Y10" i="27" s="1"/>
  <c r="T14" i="27"/>
  <c r="X14" i="27" s="1"/>
  <c r="Y14" i="27" s="1"/>
  <c r="T19" i="27"/>
  <c r="X19" i="27" s="1"/>
  <c r="Y19" i="27" s="1"/>
  <c r="T20" i="27"/>
  <c r="X20" i="27" s="1"/>
  <c r="Y20" i="27" s="1"/>
  <c r="T21" i="27"/>
  <c r="X21" i="27" s="1"/>
  <c r="Y21" i="27" s="1"/>
  <c r="T22" i="27"/>
  <c r="T25" i="27"/>
  <c r="X25" i="27" s="1"/>
  <c r="Y25" i="27" s="1"/>
  <c r="T26" i="27"/>
  <c r="X26" i="27" s="1"/>
  <c r="Y26" i="27" s="1"/>
  <c r="T27" i="27"/>
  <c r="X27" i="27" s="1"/>
  <c r="Y27" i="27" s="1"/>
  <c r="T28" i="27"/>
  <c r="X28" i="27" s="1"/>
  <c r="Y28" i="27" s="1"/>
  <c r="T30" i="27"/>
  <c r="X30" i="27" s="1"/>
  <c r="Y30" i="27" s="1"/>
  <c r="T32" i="27"/>
  <c r="X32" i="27" s="1"/>
  <c r="Y32" i="27" s="1"/>
  <c r="T33" i="27"/>
  <c r="X33" i="27" s="1"/>
  <c r="Y33" i="27" s="1"/>
  <c r="T34" i="27"/>
  <c r="X34" i="27" s="1"/>
  <c r="Y34" i="27" s="1"/>
  <c r="T35" i="27"/>
  <c r="X35" i="27" s="1"/>
  <c r="Y35" i="27" s="1"/>
  <c r="T36" i="27"/>
  <c r="T37" i="27"/>
  <c r="X37" i="27" s="1"/>
  <c r="Y37" i="27" s="1"/>
  <c r="T38" i="27"/>
  <c r="X38" i="27" s="1"/>
  <c r="Y38" i="27" s="1"/>
  <c r="T39" i="27"/>
  <c r="X39" i="27" s="1"/>
  <c r="Y39" i="27" s="1"/>
  <c r="T41" i="27"/>
  <c r="X41" i="27" s="1"/>
  <c r="Y41" i="27" s="1"/>
  <c r="T42" i="27"/>
  <c r="X42" i="27" s="1"/>
  <c r="Y42" i="27" s="1"/>
  <c r="T188" i="27" l="1"/>
  <c r="Y12" i="27"/>
  <c r="X40" i="27"/>
  <c r="Y40" i="27" s="1"/>
  <c r="X36" i="27" l="1"/>
  <c r="Y36" i="27" s="1"/>
  <c r="U188" i="27"/>
  <c r="X22" i="27"/>
  <c r="Y22" i="27" l="1"/>
  <c r="X188" i="27"/>
  <c r="Y7" i="27"/>
  <c r="Y188" i="27" l="1"/>
</calcChain>
</file>

<file path=xl/sharedStrings.xml><?xml version="1.0" encoding="utf-8"?>
<sst xmlns="http://schemas.openxmlformats.org/spreadsheetml/2006/main" count="1530" uniqueCount="663">
  <si>
    <t>TEK INSPIRATIONS PVT LTD</t>
  </si>
  <si>
    <t xml:space="preserve">    D-247/1, SECTOR-63, NOIDA-201301</t>
  </si>
  <si>
    <t>DAYS</t>
  </si>
  <si>
    <t>SALARY FOR THE MONTH OF APRIL 2026</t>
  </si>
  <si>
    <t xml:space="preserve">Sl. </t>
  </si>
  <si>
    <t>UAN</t>
  </si>
  <si>
    <t>IP NO.</t>
  </si>
  <si>
    <t>Emp. Name</t>
  </si>
  <si>
    <t>PAN</t>
  </si>
  <si>
    <t>DOB</t>
  </si>
  <si>
    <t>Emp.</t>
  </si>
  <si>
    <t>Total</t>
  </si>
  <si>
    <t>Basic</t>
  </si>
  <si>
    <t>H.R.A.</t>
  </si>
  <si>
    <t>Conv.</t>
  </si>
  <si>
    <t>INCENTIVE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</si>
  <si>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</si>
  <si>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</si>
  <si>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</si>
  <si>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</si>
  <si>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</si>
  <si>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</si>
  <si>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</si>
  <si>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</si>
  <si>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</si>
  <si>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</si>
  <si>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</t>
  </si>
  <si>
    <t>T.D.S.</t>
  </si>
  <si>
    <t>Ded.</t>
  </si>
  <si>
    <t>Payable</t>
  </si>
  <si>
    <t>N/A</t>
  </si>
  <si>
    <t>ARVIND KUMAR</t>
  </si>
  <si>
    <t>BGAPK0577M</t>
  </si>
  <si>
    <t>07.09.1986</t>
  </si>
  <si>
    <t>T-101</t>
  </si>
  <si>
    <t>MAMTA VIKAL</t>
  </si>
  <si>
    <t>AJRPN5397B</t>
  </si>
  <si>
    <t>14.09.1988</t>
  </si>
  <si>
    <t>T-118</t>
  </si>
  <si>
    <t>DAVESH SHARMA</t>
  </si>
  <si>
    <t>ASOPS0088C</t>
  </si>
  <si>
    <t>04.12.1982</t>
  </si>
  <si>
    <t>T-116</t>
  </si>
  <si>
    <t>Meerut</t>
  </si>
  <si>
    <t>SHATVEER BANSALA</t>
  </si>
  <si>
    <t>DSQPB1510P</t>
  </si>
  <si>
    <t>10.08.1995</t>
  </si>
  <si>
    <t>PRAKASH MOHAPATRA</t>
  </si>
  <si>
    <t>AKOPM0511G</t>
  </si>
  <si>
    <t>06.06.1981</t>
  </si>
  <si>
    <t>TUSHAR SHARMA</t>
  </si>
  <si>
    <t>GBLPS1859F</t>
  </si>
  <si>
    <t>07.03.1996</t>
  </si>
  <si>
    <t>SIDHESWAR MOHAPATRA</t>
  </si>
  <si>
    <t>DHFPM2482D</t>
  </si>
  <si>
    <t>24.05.1996</t>
  </si>
  <si>
    <t>NIRANJAN NAGAR</t>
  </si>
  <si>
    <t>BTEPN5931R</t>
  </si>
  <si>
    <t>01.01.1998</t>
  </si>
  <si>
    <t>RADHA CHAUDHARY</t>
  </si>
  <si>
    <t>AVJPC1993N</t>
  </si>
  <si>
    <t>02.02.1993</t>
  </si>
  <si>
    <t>RAHUL CHAUDHARY</t>
  </si>
  <si>
    <t>BQGPC6546L</t>
  </si>
  <si>
    <t>19.03.1996</t>
  </si>
  <si>
    <t>SHANKAR DATT JOSHI</t>
  </si>
  <si>
    <t>AKLPJ9449F</t>
  </si>
  <si>
    <t>07.03.1988</t>
  </si>
  <si>
    <t>VIKASH SINGH</t>
  </si>
  <si>
    <t>EIDPS5730N</t>
  </si>
  <si>
    <t>20.07.1993</t>
  </si>
  <si>
    <t>CHANDAN</t>
  </si>
  <si>
    <t>BTDPC5888D</t>
  </si>
  <si>
    <t>01.01.2000</t>
  </si>
  <si>
    <t>ANIL KUMAR</t>
  </si>
  <si>
    <t>CCJPK7655Q</t>
  </si>
  <si>
    <t>16.06.1987</t>
  </si>
  <si>
    <t>SUMIT NEGI</t>
  </si>
  <si>
    <t>AWPPN7309C</t>
  </si>
  <si>
    <t>12.03.1996</t>
  </si>
  <si>
    <t>LAXMAN</t>
  </si>
  <si>
    <t>ATRPL7195H</t>
  </si>
  <si>
    <t>T-260</t>
  </si>
  <si>
    <t>AVDHESH SHARMA</t>
  </si>
  <si>
    <t>OYHPS1765R</t>
  </si>
  <si>
    <t>07.12.1990</t>
  </si>
  <si>
    <t>SALMAN KHAN</t>
  </si>
  <si>
    <t>FADPK4974H</t>
  </si>
  <si>
    <t>26.06.1992 /20/06/1993</t>
  </si>
  <si>
    <t>SHIPRA</t>
  </si>
  <si>
    <t>MDUPS4090P</t>
  </si>
  <si>
    <t>13.03.1998</t>
  </si>
  <si>
    <t>MANJU (ICIC0001578 - 157801532322)</t>
  </si>
  <si>
    <t>CWTPM8543F</t>
  </si>
  <si>
    <t>19.05.1997</t>
  </si>
  <si>
    <t>VISHAL CHAUDHARY</t>
  </si>
  <si>
    <t>CQKPC9162M</t>
  </si>
  <si>
    <t>13.05.2002</t>
  </si>
  <si>
    <t>SHUBHAM RAO</t>
  </si>
  <si>
    <t>FMOPR2721A</t>
  </si>
  <si>
    <t>29.05.2001</t>
  </si>
  <si>
    <t>ROHIT PAL</t>
  </si>
  <si>
    <t>FGGPP4874J</t>
  </si>
  <si>
    <t>17.10.2002</t>
  </si>
  <si>
    <t>SHIVA CHAUHAN</t>
  </si>
  <si>
    <t>BFSPC5352R</t>
  </si>
  <si>
    <t>17.09.1992</t>
  </si>
  <si>
    <t>MOHAN KUMAR</t>
  </si>
  <si>
    <t>DAFPK4375E</t>
  </si>
  <si>
    <t>05.06.1994</t>
  </si>
  <si>
    <t>ANKIT KUMAR (ICIC0000253 - 025301634317)</t>
  </si>
  <si>
    <t>KBAPK0183B</t>
  </si>
  <si>
    <t>06.01.2002</t>
  </si>
  <si>
    <t>TRIPTA</t>
  </si>
  <si>
    <t>BKLPT5421J</t>
  </si>
  <si>
    <t>20.06.1999</t>
  </si>
  <si>
    <t>ANKITA PORWAL</t>
  </si>
  <si>
    <t>GYIPP9734E</t>
  </si>
  <si>
    <t>27.04.2004</t>
  </si>
  <si>
    <t>VITIN PAL</t>
  </si>
  <si>
    <t>DQVPP2857Q</t>
  </si>
  <si>
    <t>01.02.1995</t>
  </si>
  <si>
    <t>SANDIP SARSVAT</t>
  </si>
  <si>
    <t>LPTPS2893L</t>
  </si>
  <si>
    <t>03.07.1993</t>
  </si>
  <si>
    <t>MANSI</t>
  </si>
  <si>
    <t>HWPPM4336B</t>
  </si>
  <si>
    <t>24.04.2004</t>
  </si>
  <si>
    <t>TANISHKA TOMAR</t>
  </si>
  <si>
    <t>BWZPT2295J</t>
  </si>
  <si>
    <t>03.11.2001</t>
  </si>
  <si>
    <t>ANUJ RATHOR</t>
  </si>
  <si>
    <t>DWTPR9691N</t>
  </si>
  <si>
    <t>08.08.2000</t>
  </si>
  <si>
    <t>ANKUR CHAUDHARY</t>
  </si>
  <si>
    <t>CHZPC7532H</t>
  </si>
  <si>
    <t>07.03.1995</t>
  </si>
  <si>
    <t>RUPANSHI PURWAR</t>
  </si>
  <si>
    <t>EBRPP0546Q</t>
  </si>
  <si>
    <t>04.12.1999</t>
  </si>
  <si>
    <t>KM PAYAL SHRIWASTAV</t>
  </si>
  <si>
    <t>PSQPS2606B</t>
  </si>
  <si>
    <t>17.08.2001</t>
  </si>
  <si>
    <t>DHANNANJAI PANDEY</t>
  </si>
  <si>
    <t>CWJPP8604C</t>
  </si>
  <si>
    <t>31.08.1995</t>
  </si>
  <si>
    <t>KAPIL KUMAR</t>
  </si>
  <si>
    <t>CDSPK7808P</t>
  </si>
  <si>
    <t>02.11.1991</t>
  </si>
  <si>
    <t>SPARSH CHAUHAN</t>
  </si>
  <si>
    <t>CDXPC5945G</t>
  </si>
  <si>
    <t>07.02.2001</t>
  </si>
  <si>
    <t>SHREYA SRIVASTVA</t>
  </si>
  <si>
    <t>NBGPS6937A</t>
  </si>
  <si>
    <t>06.10.2002</t>
  </si>
  <si>
    <t>DEEPALI</t>
  </si>
  <si>
    <t>HOHPD9355F</t>
  </si>
  <si>
    <t>21.09.1998</t>
  </si>
  <si>
    <t>JITENDRA NAYAK</t>
  </si>
  <si>
    <t>CALPN7597J</t>
  </si>
  <si>
    <t>20.01.1998</t>
  </si>
  <si>
    <t>SHALU</t>
  </si>
  <si>
    <t>NZSPS9532M</t>
  </si>
  <si>
    <t>12.06.2004</t>
  </si>
  <si>
    <t>HYSPS0769D</t>
  </si>
  <si>
    <t>02.03.2004</t>
  </si>
  <si>
    <t>INDER MOHAN NEGI</t>
  </si>
  <si>
    <t>BIHPN8213N</t>
  </si>
  <si>
    <t>06.01.1999</t>
  </si>
  <si>
    <t>DIKSHA CHOUDHARY</t>
  </si>
  <si>
    <t>ATVPC7992B</t>
  </si>
  <si>
    <t>16.12.1993</t>
  </si>
  <si>
    <t>RAKESH NAYAK</t>
  </si>
  <si>
    <t>CHLPN1980L</t>
  </si>
  <si>
    <t>05.03.1995</t>
  </si>
  <si>
    <t>RAKSHITA GUPTA</t>
  </si>
  <si>
    <t>DCLPG1086G</t>
  </si>
  <si>
    <t>16.10.1999</t>
  </si>
  <si>
    <t>PRITAM DAS</t>
  </si>
  <si>
    <t>BPWPD3940L</t>
  </si>
  <si>
    <t>05.09.1991</t>
  </si>
  <si>
    <t>MAYANK SHARMA</t>
  </si>
  <si>
    <t>MXQPS3679J</t>
  </si>
  <si>
    <t>22.01.2000</t>
  </si>
  <si>
    <t>TRIPURARI KUMAR</t>
  </si>
  <si>
    <t>KIFPK6033L</t>
  </si>
  <si>
    <t>29.11.1995</t>
  </si>
  <si>
    <t xml:space="preserve">RAJAT KUMAR PUNDIR </t>
  </si>
  <si>
    <t>DYPPP9119F</t>
  </si>
  <si>
    <t>03.04.1996</t>
  </si>
  <si>
    <t>PRAMOD KUMAR NAYAK</t>
  </si>
  <si>
    <t>BOMPN3929Q</t>
  </si>
  <si>
    <t>03.08.1995</t>
  </si>
  <si>
    <t>HEMA MAURYA</t>
  </si>
  <si>
    <t>EJOPM0072H</t>
  </si>
  <si>
    <t>25.02.1993</t>
  </si>
  <si>
    <t>ABHILIPSHA JENA - JA</t>
  </si>
  <si>
    <t>BZRPJ1210N</t>
  </si>
  <si>
    <t>12.05.1999</t>
  </si>
  <si>
    <t>NAMAN BHARDWAJ</t>
  </si>
  <si>
    <t>GIJPB4117G</t>
  </si>
  <si>
    <t>16.02.2004</t>
  </si>
  <si>
    <t>SHIVAM KHURANA</t>
  </si>
  <si>
    <t>HMNPK5997L</t>
  </si>
  <si>
    <t>08.10.1999</t>
  </si>
  <si>
    <t xml:space="preserve">RITIKA ARORA </t>
  </si>
  <si>
    <t>FKWPA5527D</t>
  </si>
  <si>
    <t>01.02.2003</t>
  </si>
  <si>
    <t>SONALI RANI</t>
  </si>
  <si>
    <t>EXDPR0172N</t>
  </si>
  <si>
    <t>17.11.2001</t>
  </si>
  <si>
    <t xml:space="preserve">SAKSHI RAWAT </t>
  </si>
  <si>
    <t>DYCPR3585N</t>
  </si>
  <si>
    <t>15.12.2004</t>
  </si>
  <si>
    <t>PRASHANT JHA</t>
  </si>
  <si>
    <t>BPSPJ8848B</t>
  </si>
  <si>
    <t>29.05.1999</t>
  </si>
  <si>
    <t>SHIVAM JAISWAL</t>
  </si>
  <si>
    <t>BQOPJ1751N</t>
  </si>
  <si>
    <t>05.03.2000</t>
  </si>
  <si>
    <t>VARUN VERMA</t>
  </si>
  <si>
    <t>CNGPV7779G</t>
  </si>
  <si>
    <t>12.09.2003</t>
  </si>
  <si>
    <t>KUMKUM KANOUJIYA</t>
  </si>
  <si>
    <t>MCLPK3067L</t>
  </si>
  <si>
    <t>22.11.2002</t>
  </si>
  <si>
    <t xml:space="preserve">RISHABH RAGHAV </t>
  </si>
  <si>
    <t>DUDPR5441G</t>
  </si>
  <si>
    <t>01.01.2002</t>
  </si>
  <si>
    <t>ANSHIKA</t>
  </si>
  <si>
    <t>FCLPA7988H</t>
  </si>
  <si>
    <t>20.08.2003</t>
  </si>
  <si>
    <t xml:space="preserve">SIMRAN SAINI </t>
  </si>
  <si>
    <t>PDQPS3304P</t>
  </si>
  <si>
    <t>13.11.2003</t>
  </si>
  <si>
    <t>MEHAK PANDAY</t>
  </si>
  <si>
    <t>EQBPP7668Q</t>
  </si>
  <si>
    <t>14.03.1999</t>
  </si>
  <si>
    <t>AVIDHA TIWARI</t>
  </si>
  <si>
    <t>BSTPT8647L</t>
  </si>
  <si>
    <t>30.05.2001</t>
  </si>
  <si>
    <t>ASHISH KUMAR - 2</t>
  </si>
  <si>
    <t>FNKPK8517C</t>
  </si>
  <si>
    <t>01.01.1999</t>
  </si>
  <si>
    <t>AANCHAL CHAUDHARY</t>
  </si>
  <si>
    <t>BXRPC2865G</t>
  </si>
  <si>
    <t>28.11.1993</t>
  </si>
  <si>
    <t>ABHISHEK KUMAR</t>
  </si>
  <si>
    <t>EWXPK1927H</t>
  </si>
  <si>
    <t>19.03.1999</t>
  </si>
  <si>
    <t>SHUBHAM KUMAR</t>
  </si>
  <si>
    <t>GYFPK3776Q</t>
  </si>
  <si>
    <t>17.12.1998</t>
  </si>
  <si>
    <t>SANDIP MOHAPATRA</t>
  </si>
  <si>
    <t>JBEPM7629P</t>
  </si>
  <si>
    <t>03.05.2002</t>
  </si>
  <si>
    <t>RAHUL KUMAR</t>
  </si>
  <si>
    <t>HZYPK2522M</t>
  </si>
  <si>
    <t>01.01.1996</t>
  </si>
  <si>
    <t>T-870</t>
  </si>
  <si>
    <t>HEMA KUMARI SINGH - JA</t>
  </si>
  <si>
    <t>PLOPS4471R</t>
  </si>
  <si>
    <t>30.01.2001</t>
  </si>
  <si>
    <t>ASHUTOSH MISHRA</t>
  </si>
  <si>
    <t>GVZPM2765Q</t>
  </si>
  <si>
    <t>18.02.2002</t>
  </si>
  <si>
    <t xml:space="preserve">VAISHALI SHARMA </t>
  </si>
  <si>
    <t>OUBPS1723P</t>
  </si>
  <si>
    <t>28.03.2003</t>
  </si>
  <si>
    <t>TUSHAR GULATI</t>
  </si>
  <si>
    <t>DIPPG9059F</t>
  </si>
  <si>
    <t>03.10.2001</t>
  </si>
  <si>
    <t>ANSHIKA AGARWAL</t>
  </si>
  <si>
    <t>EDTPA7638N</t>
  </si>
  <si>
    <t>30.01.2003</t>
  </si>
  <si>
    <t>ARPAN BHULLAR</t>
  </si>
  <si>
    <t>EYIPB5218M</t>
  </si>
  <si>
    <t>16.08.1999</t>
  </si>
  <si>
    <t>RQTPS8028G</t>
  </si>
  <si>
    <t>10.02.2004</t>
  </si>
  <si>
    <t>ADITYA</t>
  </si>
  <si>
    <t>DUHPA9115A</t>
  </si>
  <si>
    <t>06.07.2002</t>
  </si>
  <si>
    <t>DEEPTI VERMA</t>
  </si>
  <si>
    <t>CNSPV4425R</t>
  </si>
  <si>
    <t>30.12.2003</t>
  </si>
  <si>
    <t>KISHAN KUMAR</t>
  </si>
  <si>
    <t>CVPPK1013H</t>
  </si>
  <si>
    <t>31.12.1997</t>
  </si>
  <si>
    <t>UJJWAL KUMAR</t>
  </si>
  <si>
    <t>EGHPK4861G</t>
  </si>
  <si>
    <t>21.02.1997</t>
  </si>
  <si>
    <t>JIBIN JOSEPH</t>
  </si>
  <si>
    <t>DGNPJ5124C</t>
  </si>
  <si>
    <t>15.11.2002</t>
  </si>
  <si>
    <t>PRIYANSHU SINGH</t>
  </si>
  <si>
    <t>OPXPS8584F</t>
  </si>
  <si>
    <t>08.06.2002</t>
  </si>
  <si>
    <t>PRIYANSHU</t>
  </si>
  <si>
    <t>GVLPP2735K</t>
  </si>
  <si>
    <t>18.09.2003</t>
  </si>
  <si>
    <t>YASH</t>
  </si>
  <si>
    <t>BLUPY5741E</t>
  </si>
  <si>
    <t>27.05.2002</t>
  </si>
  <si>
    <t>SHUBHAM BHATT</t>
  </si>
  <si>
    <t>GJZPB1144N</t>
  </si>
  <si>
    <t>18.02.2004</t>
  </si>
  <si>
    <t>ABHAY GUPTA</t>
  </si>
  <si>
    <t>DLYPG3524D</t>
  </si>
  <si>
    <t>14.01.2003</t>
  </si>
  <si>
    <t xml:space="preserve">DEEPAK PAL </t>
  </si>
  <si>
    <t>CWFPP2425P</t>
  </si>
  <si>
    <t>22.10.1995</t>
  </si>
  <si>
    <t xml:space="preserve">SALONI </t>
  </si>
  <si>
    <t>LDGPS3414Q</t>
  </si>
  <si>
    <t>01.04.2002</t>
  </si>
  <si>
    <t>PARUL KATARIA</t>
  </si>
  <si>
    <t>PZOPK0509N</t>
  </si>
  <si>
    <t>06.03.2002</t>
  </si>
  <si>
    <t>SUHANI SINGH DAHIYA</t>
  </si>
  <si>
    <t>FCZPD2589H</t>
  </si>
  <si>
    <t>04.06.2000</t>
  </si>
  <si>
    <t>HARSHIT AWASTHI</t>
  </si>
  <si>
    <t>EJXPA4261B</t>
  </si>
  <si>
    <t>12.01.1996</t>
  </si>
  <si>
    <t>AMISHA BHATT</t>
  </si>
  <si>
    <t>EAVPB6357Q</t>
  </si>
  <si>
    <t>06.05.2002</t>
  </si>
  <si>
    <t>ANJALI AGARWAL</t>
  </si>
  <si>
    <t>EFMPA5434M</t>
  </si>
  <si>
    <t>30.05.2003</t>
  </si>
  <si>
    <t>ADNAN SUHAIL</t>
  </si>
  <si>
    <t>OYNPS2642B</t>
  </si>
  <si>
    <t>02.02.1994</t>
  </si>
  <si>
    <t>ABHISHEK GIRI</t>
  </si>
  <si>
    <t>DXWPG0303Q</t>
  </si>
  <si>
    <t>10.03.2004</t>
  </si>
  <si>
    <t>SANSKAR DUBEY</t>
  </si>
  <si>
    <t>HKSPD5611K</t>
  </si>
  <si>
    <t>07.06.2002</t>
  </si>
  <si>
    <t>JANHVI CHAURASIYA</t>
  </si>
  <si>
    <t>CUAPC4554P</t>
  </si>
  <si>
    <t>02.12.2004</t>
  </si>
  <si>
    <t>NISHANT JHA</t>
  </si>
  <si>
    <t>CSOPJ0014P</t>
  </si>
  <si>
    <t>13.02.2005</t>
  </si>
  <si>
    <t>HIMANSHU TIWARI</t>
  </si>
  <si>
    <t>BRVPT7937E</t>
  </si>
  <si>
    <t>25.12.2003</t>
  </si>
  <si>
    <t>SHIVANGI AGARWAL</t>
  </si>
  <si>
    <t>CXRPA9053M</t>
  </si>
  <si>
    <t>25.12.1999</t>
  </si>
  <si>
    <t>GIRISH KUMAR</t>
  </si>
  <si>
    <t>JHBPK7561M</t>
  </si>
  <si>
    <t>25.12.2001</t>
  </si>
  <si>
    <t>YASH KUMAR SHARMA</t>
  </si>
  <si>
    <t>ONRPS4759G</t>
  </si>
  <si>
    <t>03.01.2002</t>
  </si>
  <si>
    <t>ANJANI KUMAR</t>
  </si>
  <si>
    <t>KOMPK5452N</t>
  </si>
  <si>
    <t>03.02.2004</t>
  </si>
  <si>
    <t>ANCHAL KUMARI</t>
  </si>
  <si>
    <t>KHTPK4235B</t>
  </si>
  <si>
    <t>18.09.2002</t>
  </si>
  <si>
    <t>KESHAV BHARDWAJ</t>
  </si>
  <si>
    <t>GKAPB9614K</t>
  </si>
  <si>
    <t>12.03.2003</t>
  </si>
  <si>
    <t>SHUBHAM SONKAR</t>
  </si>
  <si>
    <t>QSHPS6031N</t>
  </si>
  <si>
    <t>11.09.2002</t>
  </si>
  <si>
    <t>SHIVI CHIKARA</t>
  </si>
  <si>
    <t>CDGPC5222D</t>
  </si>
  <si>
    <t>SHIVAM VARSHNEY</t>
  </si>
  <si>
    <t>BUEPV9719C</t>
  </si>
  <si>
    <t>25.07.2001</t>
  </si>
  <si>
    <t>SARTHAK SHRIVASTAV</t>
  </si>
  <si>
    <t>UAYPS7359C</t>
  </si>
  <si>
    <t>24.07.2999</t>
  </si>
  <si>
    <t>PREM PAL</t>
  </si>
  <si>
    <t>CXOPP4790B</t>
  </si>
  <si>
    <t>04.06.1991</t>
  </si>
  <si>
    <t>TANYA NARULA-HR</t>
  </si>
  <si>
    <t>DDOPN6650R</t>
  </si>
  <si>
    <t>19.07.2003</t>
  </si>
  <si>
    <t>SUHANI-HR</t>
  </si>
  <si>
    <t>ORWPS4908C</t>
  </si>
  <si>
    <t>20.09.2005</t>
  </si>
  <si>
    <t>RISHABH YADAV</t>
  </si>
  <si>
    <t>BSEPY7451E</t>
  </si>
  <si>
    <t>13.09.2005</t>
  </si>
  <si>
    <t>SOMYA YADAV</t>
  </si>
  <si>
    <t>KJKPS1876M</t>
  </si>
  <si>
    <t>03.03.2002</t>
  </si>
  <si>
    <t>SHIVANI PUNDIR</t>
  </si>
  <si>
    <t>GHWPP1499B</t>
  </si>
  <si>
    <t>14.11.2001</t>
  </si>
  <si>
    <t>ASTHA KUMARI</t>
  </si>
  <si>
    <t>MAFPK2982J</t>
  </si>
  <si>
    <t>22.10.2003</t>
  </si>
  <si>
    <t>AKSHAY PANDEY</t>
  </si>
  <si>
    <t>FBYPP2842B</t>
  </si>
  <si>
    <t>03.11.2000</t>
  </si>
  <si>
    <t>YASH VERMA</t>
  </si>
  <si>
    <t>BYSPV2552B</t>
  </si>
  <si>
    <t>09.04.2002</t>
  </si>
  <si>
    <t>SATYAM GUPTA</t>
  </si>
  <si>
    <t>DRMPG7058E</t>
  </si>
  <si>
    <t>27.02.2002</t>
  </si>
  <si>
    <t>SAKSHEE SINGH</t>
  </si>
  <si>
    <t>QAIPS1611H</t>
  </si>
  <si>
    <t>21.09.2003</t>
  </si>
  <si>
    <t>HITESH GIRI</t>
  </si>
  <si>
    <t>DJUPG8924F</t>
  </si>
  <si>
    <t>22.03.2002</t>
  </si>
  <si>
    <t>SHIVANI PANCHAL</t>
  </si>
  <si>
    <t>FXHPP4790P</t>
  </si>
  <si>
    <t>09.08.1999</t>
  </si>
  <si>
    <t>ANAMIKA GUPTA</t>
  </si>
  <si>
    <t>COJPG0043J</t>
  </si>
  <si>
    <t>19.08.2002</t>
  </si>
  <si>
    <t>MOHIT KUMAR</t>
  </si>
  <si>
    <t>NNUPK3973A</t>
  </si>
  <si>
    <t>01.12.2004</t>
  </si>
  <si>
    <t>AKASH YADAV</t>
  </si>
  <si>
    <t>AYUPY9457H</t>
  </si>
  <si>
    <t>13.11.2000</t>
  </si>
  <si>
    <t>SHIVANSH SAXENA</t>
  </si>
  <si>
    <t>OHYPS4196E</t>
  </si>
  <si>
    <t>02.01.2003</t>
  </si>
  <si>
    <t>AAKASH TOMAR</t>
  </si>
  <si>
    <t>CHCPT8667F</t>
  </si>
  <si>
    <t>19.12.2003</t>
  </si>
  <si>
    <t> 1631</t>
  </si>
  <si>
    <t>POOJA SINGH - HR</t>
  </si>
  <si>
    <t>GJGPP5851P</t>
  </si>
  <si>
    <t>24.02.2002</t>
  </si>
  <si>
    <t>RITIKA BEGMAL - HR</t>
  </si>
  <si>
    <t>GRAPB6289K</t>
  </si>
  <si>
    <t>15.10.2003</t>
  </si>
  <si>
    <t>SATAKSHI RANI - HR</t>
  </si>
  <si>
    <t>REKPS9299A</t>
  </si>
  <si>
    <t>27.10.2002</t>
  </si>
  <si>
    <t>ASHI JINDAL - HR</t>
  </si>
  <si>
    <t>BOHPJ0652P</t>
  </si>
  <si>
    <t>28.10.1999</t>
  </si>
  <si>
    <t>MEGHA MALIK - HR</t>
  </si>
  <si>
    <t>GPIPM4171R</t>
  </si>
  <si>
    <t>09.02.2003</t>
  </si>
  <si>
    <t>MANSI KUMARI - HR</t>
  </si>
  <si>
    <t>KFBPK2500B</t>
  </si>
  <si>
    <t>18.12.2001</t>
  </si>
  <si>
    <t>RAKSHU RAO - HR</t>
  </si>
  <si>
    <t>GOVPR6078J</t>
  </si>
  <si>
    <t>05.08.2002</t>
  </si>
  <si>
    <t>YASHI BANSAL - HR</t>
  </si>
  <si>
    <t>HCVPB3566A</t>
  </si>
  <si>
    <t>25.08.2005</t>
  </si>
  <si>
    <t>MANSI JAIN- HR</t>
  </si>
  <si>
    <t>CGWPJ0031N</t>
  </si>
  <si>
    <t>17.02.2003</t>
  </si>
  <si>
    <t>MEER ALAM - HR</t>
  </si>
  <si>
    <t>EHZPA1834G</t>
  </si>
  <si>
    <t>24.11.2002</t>
  </si>
  <si>
    <t>NANDINI GANDHI - HR</t>
  </si>
  <si>
    <t>DKTPG3111E</t>
  </si>
  <si>
    <t>11.10.2001</t>
  </si>
  <si>
    <t>UPASNA GUPTA - HR</t>
  </si>
  <si>
    <t>DMVPG0177C</t>
  </si>
  <si>
    <t>04.03.2003</t>
  </si>
  <si>
    <t>LAKSHAY TAYAL</t>
  </si>
  <si>
    <t>CJTPT4816K</t>
  </si>
  <si>
    <t>12.08.2002</t>
  </si>
  <si>
    <t>ANSHIKA - HR</t>
  </si>
  <si>
    <t>EJMPA8144N</t>
  </si>
  <si>
    <t>07.11.2002</t>
  </si>
  <si>
    <t>HARSHITA CHAWLA - HR</t>
  </si>
  <si>
    <t>BXGPC0852C</t>
  </si>
  <si>
    <t>10.08.1999</t>
  </si>
  <si>
    <t>ARCHIT VERMA</t>
  </si>
  <si>
    <t>BLWPV0686F</t>
  </si>
  <si>
    <t>13.05.1999</t>
  </si>
  <si>
    <t>RUDRA PRATAP SINGH</t>
  </si>
  <si>
    <t>PRUPS3949L</t>
  </si>
  <si>
    <t>06.12.2003</t>
  </si>
  <si>
    <t>SHANTANU MISHRA</t>
  </si>
  <si>
    <t>HAMPM3509R</t>
  </si>
  <si>
    <t>11.07.2003</t>
  </si>
  <si>
    <t>AZEEM HASNAIN ZAIDI</t>
  </si>
  <si>
    <t>ADDPZ5576A</t>
  </si>
  <si>
    <t>05.06.2002</t>
  </si>
  <si>
    <t>SHAILENDRA TRIPATHI</t>
  </si>
  <si>
    <t>CDQPT0224G</t>
  </si>
  <si>
    <t>09.07.2004</t>
  </si>
  <si>
    <t>ANJALI KUMARI</t>
  </si>
  <si>
    <t>JYWPK4606R</t>
  </si>
  <si>
    <t>02.08.2002</t>
  </si>
  <si>
    <t>HARSH SHARMA</t>
  </si>
  <si>
    <t>ODTPS7331N</t>
  </si>
  <si>
    <t>07.04.2003</t>
  </si>
  <si>
    <t>SHIVAM SHUKLA</t>
  </si>
  <si>
    <t>KMQPS6794R</t>
  </si>
  <si>
    <t>12.08.2000</t>
  </si>
  <si>
    <t>AKASH KUMAR</t>
  </si>
  <si>
    <t>KFPPK6290L</t>
  </si>
  <si>
    <t>08.01.2000</t>
  </si>
  <si>
    <t>PRAKHAR ADHANA</t>
  </si>
  <si>
    <t>FWFPA2623P</t>
  </si>
  <si>
    <t>24.10.2006</t>
  </si>
  <si>
    <t>AYUSHI KUMARI</t>
  </si>
  <si>
    <t>MFWPK3594J</t>
  </si>
  <si>
    <t>20.08.2001</t>
  </si>
  <si>
    <t>RAGHAV JOSHI</t>
  </si>
  <si>
    <t>CWTPJ0135L</t>
  </si>
  <si>
    <t>07.10.2003</t>
  </si>
  <si>
    <t>VIVEK AGARWAL</t>
  </si>
  <si>
    <t>EKQPA0644Q</t>
  </si>
  <si>
    <t>11.03.2003</t>
  </si>
  <si>
    <t>ABHISHEK JAISWAL</t>
  </si>
  <si>
    <t>CEOPJ8925F</t>
  </si>
  <si>
    <t>28.07.2001</t>
  </si>
  <si>
    <t>VANSH TYAGI</t>
  </si>
  <si>
    <t>BXEPT9123M</t>
  </si>
  <si>
    <t>24.08.2005</t>
  </si>
  <si>
    <t>ARPIT PATEL</t>
  </si>
  <si>
    <t>IHZPP0414D</t>
  </si>
  <si>
    <t>18.07.2002</t>
  </si>
  <si>
    <t>ADITYA KUMAR CHAUHAN</t>
  </si>
  <si>
    <t>DKMPC7580Q</t>
  </si>
  <si>
    <t>18.05.2004</t>
  </si>
  <si>
    <t>HARSH</t>
  </si>
  <si>
    <t>BJOPH9326Q</t>
  </si>
  <si>
    <t>29.12.2002</t>
  </si>
  <si>
    <t>DEEPANSHU GARG</t>
  </si>
  <si>
    <t>FBGPG7325Q</t>
  </si>
  <si>
    <t>25.10.2004</t>
  </si>
  <si>
    <t>SHALINI SINGH</t>
  </si>
  <si>
    <t>QSPPS9385M</t>
  </si>
  <si>
    <t>25.08.2002</t>
  </si>
  <si>
    <t>ANIRBAN SAHA</t>
  </si>
  <si>
    <t>PGAPS9923K</t>
  </si>
  <si>
    <t>07.07.2002</t>
  </si>
  <si>
    <t>MAMOON AKHTAR</t>
  </si>
  <si>
    <t>EHUPA2743H</t>
  </si>
  <si>
    <t>05.01.2002</t>
  </si>
  <si>
    <t xml:space="preserve">VIDUSHI SHARMA </t>
  </si>
  <si>
    <t>IEPPS2533D</t>
  </si>
  <si>
    <t>31.01.2000</t>
  </si>
  <si>
    <t>CHINKI DEEKSHIT</t>
  </si>
  <si>
    <t>DYUPD5182F</t>
  </si>
  <si>
    <t>30.03.1994</t>
  </si>
  <si>
    <t>SIDDHARTH TYAGI</t>
  </si>
  <si>
    <t>BAGPT6880E</t>
  </si>
  <si>
    <t>05.05.1994</t>
  </si>
  <si>
    <t>SUDHANSU SEKHAR NAYAK</t>
  </si>
  <si>
    <t>COSPN5613L</t>
  </si>
  <si>
    <t>15.11.2001</t>
  </si>
  <si>
    <t>SAWAN KUMAR YADAV</t>
  </si>
  <si>
    <t>BKDPY9560K</t>
  </si>
  <si>
    <t>08.12.2002</t>
  </si>
  <si>
    <t>ADITYA SAXENA</t>
  </si>
  <si>
    <t>PCJPS9652E</t>
  </si>
  <si>
    <t>17.10.2005</t>
  </si>
  <si>
    <t>KANHAIYA</t>
  </si>
  <si>
    <t>MJPPK8354M</t>
  </si>
  <si>
    <t>07.09.2004</t>
  </si>
  <si>
    <t>ABDUL SAMAD KHAN</t>
  </si>
  <si>
    <t>FXRPA4190J</t>
  </si>
  <si>
    <t>24.12.2005</t>
  </si>
  <si>
    <t>MOHD ADNAN</t>
  </si>
  <si>
    <t>OABPK9102A</t>
  </si>
  <si>
    <t>12.08.2005</t>
  </si>
  <si>
    <t>ISHANSH GOEL</t>
  </si>
  <si>
    <t>DUBPG0894J</t>
  </si>
  <si>
    <t>31.01.2003</t>
  </si>
  <si>
    <t>RUCHI SHARMA</t>
  </si>
  <si>
    <t>FTMPS2043K</t>
  </si>
  <si>
    <t>11.06.1986</t>
  </si>
  <si>
    <t>T-124</t>
  </si>
  <si>
    <t>ASHUTOSH SRIVASTAVA</t>
  </si>
  <si>
    <t>CQBPS1972G</t>
  </si>
  <si>
    <t>01.07.1990</t>
  </si>
  <si>
    <t>RUCHI NAGAR</t>
  </si>
  <si>
    <t>CGHPN7061B</t>
  </si>
  <si>
    <t>21.09.1993</t>
  </si>
  <si>
    <t>T-200</t>
  </si>
  <si>
    <t>SUSHMA SHARMA</t>
  </si>
  <si>
    <t>CBPPS5413K</t>
  </si>
  <si>
    <t>02.01.1961</t>
  </si>
  <si>
    <t>T-201</t>
  </si>
  <si>
    <t>PREETI NAGAR</t>
  </si>
  <si>
    <t>BAGPN9357Q</t>
  </si>
  <si>
    <t>02.10.1990</t>
  </si>
  <si>
    <t>T-224</t>
  </si>
  <si>
    <t>PREM NATH SHARMA</t>
  </si>
  <si>
    <t>BZSPS0498G</t>
  </si>
  <si>
    <t>06.06.1956</t>
  </si>
  <si>
    <t>T-229</t>
  </si>
  <si>
    <t>SANDEEP KUMAR</t>
  </si>
  <si>
    <t>FRQPK5912M</t>
  </si>
  <si>
    <t>18.06.1992</t>
  </si>
  <si>
    <t>T-322</t>
  </si>
  <si>
    <t>PRADEEP KUMAR</t>
  </si>
  <si>
    <t>FGFPK9549Q</t>
  </si>
  <si>
    <t>16.07.1989</t>
  </si>
  <si>
    <t>T-323</t>
  </si>
  <si>
    <t>VARSHA</t>
  </si>
  <si>
    <t>BTNPV4352F</t>
  </si>
  <si>
    <t>25.08.1989</t>
  </si>
  <si>
    <t>T-324</t>
  </si>
  <si>
    <t>AASHA</t>
  </si>
  <si>
    <t>DIOPA8434B</t>
  </si>
  <si>
    <t>01.01.1995</t>
  </si>
  <si>
    <t>T-325</t>
  </si>
  <si>
    <t>KAUSHAR</t>
  </si>
  <si>
    <t>KPQPK3496R</t>
  </si>
  <si>
    <t>06.05.1991</t>
  </si>
  <si>
    <t>T-326</t>
  </si>
  <si>
    <t>REKHA NAGAR</t>
  </si>
  <si>
    <t>FDDPR3617D</t>
  </si>
  <si>
    <t>11.08.1994</t>
  </si>
  <si>
    <t>T-360</t>
  </si>
  <si>
    <t>KM REENU NAGAR</t>
  </si>
  <si>
    <t>CRGPN5326K</t>
  </si>
  <si>
    <t>19.11.1994</t>
  </si>
  <si>
    <t>T-361</t>
  </si>
  <si>
    <t>MANJU (ICIC0000253 - 025301626691 )</t>
  </si>
  <si>
    <t>EKVPM9541R</t>
  </si>
  <si>
    <t>01.01.1993</t>
  </si>
  <si>
    <t>T-362</t>
  </si>
  <si>
    <t>PINKI</t>
  </si>
  <si>
    <t>CZLPP7908J</t>
  </si>
  <si>
    <t>T-363</t>
  </si>
  <si>
    <t>PANKAJ</t>
  </si>
  <si>
    <t>EOBPP0781L</t>
  </si>
  <si>
    <t>18.03.1983</t>
  </si>
  <si>
    <t>T-457</t>
  </si>
  <si>
    <t>NEETU</t>
  </si>
  <si>
    <t>ASYPN0553B</t>
  </si>
  <si>
    <t>12.05.1985</t>
  </si>
  <si>
    <t>T-458</t>
  </si>
  <si>
    <t>MADHU</t>
  </si>
  <si>
    <t>GWMPM0579N</t>
  </si>
  <si>
    <t>T-634</t>
  </si>
  <si>
    <t>TULSI KATYAL</t>
  </si>
  <si>
    <t>MEOPK3723E</t>
  </si>
  <si>
    <t>13.11.1977</t>
  </si>
  <si>
    <t>T-668</t>
  </si>
  <si>
    <t>REKHA</t>
  </si>
  <si>
    <t>EZNPR9668R</t>
  </si>
  <si>
    <t>14.12.1984</t>
  </si>
  <si>
    <t>T-742</t>
  </si>
  <si>
    <t>GAURAV</t>
  </si>
  <si>
    <t>BGIPG5035L</t>
  </si>
  <si>
    <t>18.07.1992</t>
  </si>
  <si>
    <t>T-788</t>
  </si>
  <si>
    <t>AYUSHI</t>
  </si>
  <si>
    <t>T-923</t>
  </si>
  <si>
    <t>SONU</t>
  </si>
  <si>
    <t>JHCPS9487K</t>
  </si>
  <si>
    <t>01.01.1990</t>
  </si>
  <si>
    <t>SHIVANI</t>
  </si>
  <si>
    <t>TURPS9361A</t>
  </si>
  <si>
    <t>02.02.2007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</si>
</sst>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Arial"/>
      <family val="2"/>
    </font>
    <font>
      <b/>
      <sz val="1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4" fillId="2" borderId="0" applyNumberFormat="0" applyBorder="0" applyAlignment="0" applyProtection="0"/>
  </cellStyleXfs>
  <cellXfs count="229">
    <xf numFmtId="0" fontId="0" fillId="0" borderId="0" xfId="0"/>
    <xf numFmtId="0" fontId="6" fillId="0" borderId="1" xfId="0" applyFont="1" applyBorder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5" fillId="0" borderId="1" xfId="0" applyFont="1" applyBorder="1"/>
    <xf numFmtId="49" fontId="10" fillId="3" borderId="1" xfId="0" applyNumberFormat="1" applyFont="1" applyFill="1" applyBorder="1" applyAlignment="1">
      <alignment horizontal="left" wrapText="1"/>
    </xf>
    <xf numFmtId="164" fontId="8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5" xfId="0" applyFont="1" applyBorder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/>
    </xf>
    <xf numFmtId="0" fontId="8" fillId="0" borderId="0" xfId="0" applyFont="1"/>
    <xf numFmtId="1" fontId="0" fillId="0" borderId="5" xfId="0" applyNumberFormat="1" applyBorder="1" applyAlignment="1">
      <alignment horizontal="center"/>
    </xf>
    <xf numFmtId="0" fontId="8" fillId="0" borderId="5" xfId="0" applyFont="1" applyBorder="1" applyAlignment="1">
      <alignment vertical="center" wrapText="1"/>
    </xf>
    <xf numFmtId="49" fontId="10" fillId="0" borderId="5" xfId="0" applyNumberFormat="1" applyFont="1" applyBorder="1" applyAlignment="1">
      <alignment horizontal="left" wrapText="1"/>
    </xf>
    <xf numFmtId="1" fontId="6" fillId="0" borderId="0" xfId="0" applyNumberFormat="1" applyFont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5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4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shrinkToFit="1"/>
    </xf>
    <xf numFmtId="0" fontId="5" fillId="3" borderId="1" xfId="0" applyFont="1" applyFill="1" applyBorder="1"/>
    <xf numFmtId="49" fontId="0" fillId="3" borderId="1" xfId="0" applyNumberFormat="1" applyFill="1" applyBorder="1" applyAlignment="1">
      <alignment horizontal="left"/>
    </xf>
    <xf numFmtId="0" fontId="9" fillId="3" borderId="1" xfId="0" applyFont="1" applyFill="1" applyBorder="1" applyAlignment="1">
      <alignment vertical="center"/>
    </xf>
    <xf numFmtId="49" fontId="10" fillId="3" borderId="1" xfId="0" applyNumberFormat="1" applyFont="1" applyFill="1" applyBorder="1" applyAlignment="1">
      <alignment horizontal="left"/>
    </xf>
    <xf numFmtId="1" fontId="13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0" xfId="0" applyFont="1"/>
    <xf numFmtId="0" fontId="22" fillId="0" borderId="1" xfId="0" applyFont="1" applyBorder="1" applyAlignment="1">
      <alignment horizontal="left" wrapText="1"/>
    </xf>
    <xf numFmtId="0" fontId="22" fillId="8" borderId="1" xfId="0" applyFont="1" applyFill="1" applyBorder="1" applyAlignment="1">
      <alignment horizontal="left" wrapText="1"/>
    </xf>
    <xf numFmtId="0" fontId="22" fillId="0" borderId="1" xfId="0" applyFont="1" applyBorder="1" applyAlignment="1">
      <alignment wrapText="1"/>
    </xf>
    <xf numFmtId="0" fontId="23" fillId="0" borderId="1" xfId="0" applyFont="1" applyBorder="1"/>
    <xf numFmtId="0" fontId="24" fillId="0" borderId="1" xfId="0" applyFont="1" applyBorder="1" applyAlignment="1">
      <alignment wrapText="1"/>
    </xf>
    <xf numFmtId="0" fontId="23" fillId="8" borderId="5" xfId="0" applyFont="1" applyFill="1" applyBorder="1" applyAlignment="1">
      <alignment wrapText="1"/>
    </xf>
    <xf numFmtId="0" fontId="22" fillId="8" borderId="1" xfId="0" applyFont="1" applyFill="1" applyBorder="1"/>
    <xf numFmtId="0" fontId="22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/>
    <xf numFmtId="49" fontId="10" fillId="0" borderId="1" xfId="0" applyNumberFormat="1" applyFont="1" applyBorder="1" applyAlignment="1">
      <alignment horizontal="left"/>
    </xf>
    <xf numFmtId="0" fontId="16" fillId="0" borderId="0" xfId="0" applyFont="1"/>
    <xf numFmtId="0" fontId="22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/>
    </xf>
    <xf numFmtId="0" fontId="11" fillId="0" borderId="0" xfId="0" applyFont="1"/>
    <xf numFmtId="0" fontId="26" fillId="0" borderId="0" xfId="0" applyFont="1"/>
    <xf numFmtId="0" fontId="26" fillId="7" borderId="1" xfId="0" applyFont="1" applyFill="1" applyBorder="1" applyAlignment="1">
      <alignment horizontal="center"/>
    </xf>
    <xf numFmtId="164" fontId="26" fillId="7" borderId="1" xfId="0" applyNumberFormat="1" applyFont="1" applyFill="1" applyBorder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26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26" fillId="4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27" fillId="0" borderId="1" xfId="0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left" wrapText="1"/>
    </xf>
    <xf numFmtId="0" fontId="26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4" fontId="26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31" fillId="0" borderId="1" xfId="0" applyFont="1" applyBorder="1"/>
    <xf numFmtId="0" fontId="11" fillId="5" borderId="1" xfId="0" applyFont="1" applyFill="1" applyBorder="1"/>
    <xf numFmtId="0" fontId="11" fillId="8" borderId="1" xfId="0" applyFont="1" applyFill="1" applyBorder="1"/>
    <xf numFmtId="0" fontId="31" fillId="3" borderId="1" xfId="0" applyFont="1" applyFill="1" applyBorder="1"/>
    <xf numFmtId="49" fontId="28" fillId="3" borderId="1" xfId="0" applyNumberFormat="1" applyFont="1" applyFill="1" applyBorder="1" applyAlignment="1">
      <alignment horizontal="left"/>
    </xf>
    <xf numFmtId="0" fontId="11" fillId="8" borderId="1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49" fontId="33" fillId="3" borderId="1" xfId="0" applyNumberFormat="1" applyFont="1" applyFill="1" applyBorder="1" applyAlignment="1">
      <alignment horizontal="left" wrapText="1"/>
    </xf>
    <xf numFmtId="0" fontId="11" fillId="8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49" fontId="33" fillId="3" borderId="1" xfId="0" applyNumberFormat="1" applyFont="1" applyFill="1" applyBorder="1" applyAlignment="1">
      <alignment horizontal="left"/>
    </xf>
    <xf numFmtId="0" fontId="11" fillId="9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49" fontId="33" fillId="9" borderId="1" xfId="0" applyNumberFormat="1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center"/>
    </xf>
    <xf numFmtId="164" fontId="26" fillId="9" borderId="1" xfId="0" applyNumberFormat="1" applyFont="1" applyFill="1" applyBorder="1" applyAlignment="1">
      <alignment horizontal="center"/>
    </xf>
    <xf numFmtId="164" fontId="26" fillId="0" borderId="1" xfId="0" applyNumberFormat="1" applyFont="1" applyFill="1" applyBorder="1" applyAlignment="1">
      <alignment horizontal="center"/>
    </xf>
    <xf numFmtId="0" fontId="32" fillId="0" borderId="1" xfId="0" applyFont="1" applyBorder="1" applyAlignment="1">
      <alignment vertical="center" wrapText="1"/>
    </xf>
    <xf numFmtId="49" fontId="33" fillId="0" borderId="1" xfId="0" applyNumberFormat="1" applyFont="1" applyBorder="1" applyAlignment="1">
      <alignment horizontal="left" wrapText="1"/>
    </xf>
    <xf numFmtId="0" fontId="26" fillId="0" borderId="1" xfId="0" applyFont="1" applyBorder="1" applyAlignment="1">
      <alignment vertical="center"/>
    </xf>
    <xf numFmtId="0" fontId="26" fillId="3" borderId="1" xfId="0" applyFont="1" applyFill="1" applyBorder="1" applyAlignment="1">
      <alignment vertical="center" wrapText="1"/>
    </xf>
    <xf numFmtId="49" fontId="33" fillId="0" borderId="1" xfId="0" applyNumberFormat="1" applyFont="1" applyBorder="1" applyAlignment="1">
      <alignment horizontal="left"/>
    </xf>
    <xf numFmtId="0" fontId="26" fillId="0" borderId="1" xfId="0" applyFont="1" applyBorder="1" applyAlignment="1">
      <alignment vertical="center" wrapText="1"/>
    </xf>
    <xf numFmtId="0" fontId="28" fillId="8" borderId="1" xfId="0" applyFont="1" applyFill="1" applyBorder="1"/>
    <xf numFmtId="0" fontId="28" fillId="9" borderId="1" xfId="0" applyFont="1" applyFill="1" applyBorder="1"/>
    <xf numFmtId="0" fontId="26" fillId="9" borderId="1" xfId="0" applyFont="1" applyFill="1" applyBorder="1" applyAlignment="1">
      <alignment vertical="center" wrapText="1"/>
    </xf>
    <xf numFmtId="0" fontId="28" fillId="0" borderId="1" xfId="0" applyFont="1" applyBorder="1"/>
    <xf numFmtId="0" fontId="28" fillId="8" borderId="1" xfId="0" applyFont="1" applyFill="1" applyBorder="1" applyAlignment="1">
      <alignment wrapText="1"/>
    </xf>
    <xf numFmtId="1" fontId="28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0" fontId="28" fillId="8" borderId="5" xfId="0" applyFont="1" applyFill="1" applyBorder="1" applyAlignment="1">
      <alignment wrapText="1"/>
    </xf>
    <xf numFmtId="0" fontId="26" fillId="0" borderId="5" xfId="0" applyFont="1" applyBorder="1" applyAlignment="1">
      <alignment vertical="center" wrapText="1"/>
    </xf>
    <xf numFmtId="49" fontId="33" fillId="0" borderId="5" xfId="0" applyNumberFormat="1" applyFont="1" applyBorder="1" applyAlignment="1">
      <alignment horizontal="left" wrapText="1"/>
    </xf>
    <xf numFmtId="0" fontId="11" fillId="0" borderId="5" xfId="0" applyFont="1" applyBorder="1" applyAlignment="1">
      <alignment horizontal="center" vertical="center"/>
    </xf>
    <xf numFmtId="1" fontId="11" fillId="0" borderId="0" xfId="0" applyNumberFormat="1" applyFont="1"/>
    <xf numFmtId="0" fontId="29" fillId="0" borderId="5" xfId="0" applyFont="1" applyBorder="1" applyAlignment="1">
      <alignment horizontal="center"/>
    </xf>
    <xf numFmtId="0" fontId="27" fillId="5" borderId="1" xfId="0" applyFont="1" applyFill="1" applyBorder="1" applyAlignment="1">
      <alignment horizontal="center" vertical="center"/>
    </xf>
    <xf numFmtId="1" fontId="34" fillId="0" borderId="5" xfId="0" applyNumberFormat="1" applyFont="1" applyBorder="1" applyAlignment="1">
      <alignment horizontal="center" vertical="top"/>
    </xf>
    <xf numFmtId="0" fontId="28" fillId="9" borderId="5" xfId="0" applyFont="1" applyFill="1" applyBorder="1" applyAlignment="1">
      <alignment wrapText="1"/>
    </xf>
    <xf numFmtId="0" fontId="26" fillId="9" borderId="5" xfId="0" applyFont="1" applyFill="1" applyBorder="1" applyAlignment="1">
      <alignment vertical="center" wrapText="1"/>
    </xf>
    <xf numFmtId="49" fontId="33" fillId="9" borderId="5" xfId="0" applyNumberFormat="1" applyFont="1" applyFill="1" applyBorder="1" applyAlignment="1">
      <alignment horizontal="left" wrapText="1"/>
    </xf>
    <xf numFmtId="0" fontId="25" fillId="0" borderId="5" xfId="0" applyFont="1" applyBorder="1" applyAlignment="1">
      <alignment vertical="center" wrapText="1"/>
    </xf>
    <xf numFmtId="0" fontId="25" fillId="9" borderId="5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" fontId="34" fillId="0" borderId="1" xfId="0" applyNumberFormat="1" applyFont="1" applyBorder="1" applyAlignment="1">
      <alignment horizontal="center"/>
    </xf>
    <xf numFmtId="0" fontId="28" fillId="9" borderId="1" xfId="0" applyFont="1" applyFill="1" applyBorder="1" applyAlignment="1">
      <alignment wrapText="1"/>
    </xf>
    <xf numFmtId="0" fontId="25" fillId="9" borderId="1" xfId="0" applyFont="1" applyFill="1" applyBorder="1" applyAlignment="1">
      <alignment vertical="center" wrapText="1"/>
    </xf>
    <xf numFmtId="0" fontId="26" fillId="5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 wrapText="1"/>
    </xf>
    <xf numFmtId="0" fontId="11" fillId="9" borderId="1" xfId="0" applyFont="1" applyFill="1" applyBorder="1" applyAlignment="1">
      <alignment wrapText="1"/>
    </xf>
    <xf numFmtId="49" fontId="11" fillId="9" borderId="1" xfId="0" applyNumberFormat="1" applyFont="1" applyFill="1" applyBorder="1" applyAlignment="1">
      <alignment horizontal="left" wrapText="1"/>
    </xf>
    <xf numFmtId="0" fontId="11" fillId="6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1" fontId="26" fillId="0" borderId="1" xfId="0" applyNumberFormat="1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25" fillId="0" borderId="1" xfId="0" applyFont="1" applyBorder="1" applyAlignment="1">
      <alignment wrapText="1"/>
    </xf>
    <xf numFmtId="0" fontId="11" fillId="0" borderId="5" xfId="0" applyFont="1" applyBorder="1"/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0" fontId="26" fillId="0" borderId="7" xfId="0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8" fillId="7" borderId="6" xfId="0" applyNumberFormat="1" applyFont="1" applyFill="1" applyBorder="1" applyAlignment="1">
      <alignment horizontal="center"/>
    </xf>
    <xf numFmtId="1" fontId="8" fillId="7" borderId="5" xfId="0" applyNumberFormat="1" applyFont="1" applyFill="1" applyBorder="1" applyAlignment="1">
      <alignment horizontal="center"/>
    </xf>
    <xf numFmtId="1" fontId="26" fillId="7" borderId="6" xfId="0" applyNumberFormat="1" applyFont="1" applyFill="1" applyBorder="1" applyAlignment="1">
      <alignment horizontal="center"/>
    </xf>
    <xf numFmtId="1" fontId="26" fillId="7" borderId="5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" fontId="8" fillId="7" borderId="6" xfId="0" applyNumberFormat="1" applyFont="1" applyFill="1" applyBorder="1" applyAlignment="1">
      <alignment horizontal="center"/>
    </xf>
    <xf numFmtId="1" fontId="8" fillId="7" borderId="5" xfId="0" applyNumberFormat="1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 shrinkToFit="1"/>
    </xf>
    <xf numFmtId="0" fontId="7" fillId="7" borderId="10" xfId="0" applyFont="1" applyFill="1" applyBorder="1" applyAlignment="1">
      <alignment horizontal="center" vertical="center" wrapText="1" shrinkToFit="1"/>
    </xf>
    <xf numFmtId="0" fontId="25" fillId="7" borderId="0" xfId="0" applyFont="1" applyFill="1" applyAlignment="1">
      <alignment horizontal="center"/>
    </xf>
    <xf numFmtId="0" fontId="25" fillId="7" borderId="9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" fontId="26" fillId="7" borderId="6" xfId="0" applyNumberFormat="1" applyFont="1" applyFill="1" applyBorder="1" applyAlignment="1">
      <alignment horizontal="center"/>
    </xf>
    <xf numFmtId="1" fontId="26" fillId="7" borderId="5" xfId="0" applyNumberFormat="1" applyFont="1" applyFill="1" applyBorder="1" applyAlignment="1">
      <alignment horizontal="center"/>
    </xf>
    <xf numFmtId="0" fontId="26" fillId="7" borderId="6" xfId="0" applyFont="1" applyFill="1" applyBorder="1" applyAlignment="1">
      <alignment horizontal="center" wrapText="1"/>
    </xf>
    <xf numFmtId="0" fontId="26" fillId="7" borderId="5" xfId="0" applyFont="1" applyFill="1" applyBorder="1" applyAlignment="1">
      <alignment horizontal="center" wrapText="1"/>
    </xf>
    <xf numFmtId="0" fontId="25" fillId="7" borderId="6" xfId="0" applyFont="1" applyFill="1" applyBorder="1" applyAlignment="1">
      <alignment horizontal="center" vertical="center" wrapText="1" shrinkToFit="1"/>
    </xf>
    <xf numFmtId="0" fontId="25" fillId="7" borderId="10" xfId="0" applyFont="1" applyFill="1" applyBorder="1" applyAlignment="1">
      <alignment horizontal="center" vertical="center" wrapText="1" shrinkToFit="1"/>
    </xf>
  </cellXfs>
  <cellStyles count="5">
    <cellStyle name="Neutral" xfId="4" builtinId="28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91"/>
  <sheetViews>
    <sheetView tabSelected="1" zoomScale="70" zoomScaleNormal="70" zoomScaleSheetLayoutView="55" workbookViewId="0">
      <pane ySplit="6" topLeftCell="A165" activePane="bottomLeft" state="frozen"/>
      <selection pane="bottomLeft" activeCell="AA181" sqref="AA181"/>
    </sheetView>
  </sheetViews>
  <sheetFormatPr defaultColWidth="9.140625" defaultRowHeight="15"/>
  <cols>
    <col min="1" max="1" width="5.85546875" style="2" bestFit="1" customWidth="1"/>
    <col min="2" max="2" width="16.85546875" style="27" customWidth="1"/>
    <col min="3" max="3" width="11.85546875" style="27" customWidth="1"/>
    <col min="4" max="4" width="8.28515625" style="27" customWidth="1"/>
    <col min="5" max="5" width="21.85546875" style="19" customWidth="1"/>
    <col min="6" max="6" width="16.140625" style="2" hidden="1" customWidth="1"/>
    <col min="7" max="7" width="11.5703125" style="2" hidden="1" customWidth="1"/>
    <col min="8" max="8" width="7.85546875" style="48" customWidth="1"/>
    <col min="9" max="9" width="8.5703125" style="58" customWidth="1"/>
    <col min="10" max="10" width="8.85546875" style="40" customWidth="1"/>
    <col min="11" max="11" width="9.140625" style="40" customWidth="1"/>
    <col min="12" max="12" width="8.140625" style="40" customWidth="1"/>
    <col min="13" max="13" width="10.140625" style="40" customWidth="1"/>
    <col min="14" max="14" width="11.85546875" style="40" customWidth="1"/>
    <col min="15" max="17" width="11.42578125" style="40" customWidth="1"/>
    <col min="18" max="18" width="6.85546875" style="40" customWidth="1"/>
    <col min="19" max="19" width="11.85546875" style="40" customWidth="1"/>
    <col min="20" max="20" width="10.140625" style="40" customWidth="1"/>
    <col min="21" max="21" width="7.85546875" style="40" customWidth="1"/>
    <col min="22" max="22" width="8.5703125" style="40" bestFit="1" customWidth="1"/>
    <col min="23" max="23" width="10" style="40" bestFit="1" customWidth="1"/>
    <col min="24" max="24" width="10.140625" style="40" bestFit="1" customWidth="1"/>
    <col min="25" max="25" width="11.85546875" style="40" bestFit="1" customWidth="1"/>
    <col min="26" max="26" width="9.140625" style="2" customWidth="1"/>
    <col min="27" max="27" width="6.140625" style="2" customWidth="1"/>
    <col min="28" max="28" width="5.85546875" style="2" bestFit="1" customWidth="1"/>
    <col min="29" max="29" width="6.5703125" style="2" customWidth="1"/>
    <col min="30" max="16384" width="9.140625" style="2"/>
  </cols>
  <sheetData>
    <row r="1" spans="1:27">
      <c r="A1" s="212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</row>
    <row r="2" spans="1:27" ht="18" customHeight="1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7">
      <c r="A3" s="213" t="s">
        <v>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3" t="s">
        <v>2</v>
      </c>
      <c r="AA3" s="23">
        <v>30</v>
      </c>
    </row>
    <row r="4" spans="1:27" ht="26.25" customHeight="1">
      <c r="A4" s="209" t="s">
        <v>3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1"/>
    </row>
    <row r="5" spans="1:27" ht="18.75" customHeight="1">
      <c r="A5" s="62" t="s">
        <v>4</v>
      </c>
      <c r="B5" s="207" t="s">
        <v>5</v>
      </c>
      <c r="C5" s="207" t="s">
        <v>6</v>
      </c>
      <c r="D5" s="200"/>
      <c r="E5" s="214" t="s">
        <v>7</v>
      </c>
      <c r="F5" s="62" t="s">
        <v>8</v>
      </c>
      <c r="G5" s="62" t="s">
        <v>9</v>
      </c>
      <c r="H5" s="62" t="s">
        <v>10</v>
      </c>
      <c r="I5" s="63" t="s">
        <v>11</v>
      </c>
      <c r="J5" s="64" t="s">
        <v>12</v>
      </c>
      <c r="K5" s="64" t="s">
        <v>13</v>
      </c>
      <c r="L5" s="65" t="s">
        <v>14</v>
      </c>
      <c r="M5" s="65"/>
      <c r="N5" s="64" t="s">
        <v>11</v>
      </c>
      <c r="O5" s="64" t="s">
        <v>12</v>
      </c>
      <c r="P5" s="64" t="s">
        <v>13</v>
      </c>
      <c r="Q5" s="65" t="s">
        <v>14</v>
      </c>
      <c r="R5" s="216" t="s">
        <v>15</v>
      </c>
      <c r="S5" s="64" t="s">
        <v>11</v>
      </c>
      <c r="T5" s="204" t="s">
        <v>16</v>
      </c>
      <c r="U5" s="205"/>
      <c r="V5" s="205"/>
      <c r="W5" s="206"/>
      <c r="X5" s="64" t="s">
        <v>17</v>
      </c>
      <c r="Y5" s="64" t="s">
        <v>18</v>
      </c>
    </row>
    <row r="6" spans="1:27" ht="20.25" customHeight="1">
      <c r="A6" s="62" t="s">
        <v>19</v>
      </c>
      <c r="B6" s="208"/>
      <c r="C6" s="208"/>
      <c r="D6" s="201"/>
      <c r="E6" s="215"/>
      <c r="F6" s="62"/>
      <c r="G6" s="62"/>
      <c r="H6" s="62" t="s">
        <v>20</v>
      </c>
      <c r="I6" s="63" t="s">
        <v>21</v>
      </c>
      <c r="J6" s="64" t="s">
        <v>22</v>
      </c>
      <c r="K6" s="64" t="s">
        <v>23</v>
      </c>
      <c r="L6" s="64" t="s">
        <v>23</v>
      </c>
      <c r="M6" s="64"/>
      <c r="N6" s="64" t="s">
        <v>23</v>
      </c>
      <c r="O6" s="64" t="s">
        <v>22</v>
      </c>
      <c r="P6" s="64" t="s">
        <v>23</v>
      </c>
      <c r="Q6" s="64" t="s">
        <v>23</v>
      </c>
      <c r="R6" s="217"/>
      <c r="S6" s="64" t="s">
        <v>23</v>
      </c>
      <c r="T6" s="64" t="s">
        <v>24</v>
      </c>
      <c r="U6" s="64" t="s">
        <v>25</v>
      </c>
      <c r="V6" s="64" t="s">
        <v>26</v>
      </c>
      <c r="W6" s="64" t="s">
        <v>27</v>
      </c>
      <c r="X6" s="64" t="s">
        <v>28</v>
      </c>
      <c r="Y6" s="64" t="s">
        <v>29</v>
      </c>
    </row>
    <row r="7" spans="1:27">
      <c r="A7" s="8">
        <v>1</v>
      </c>
      <c r="B7" s="6" t="s">
        <v>30</v>
      </c>
      <c r="C7" s="22" t="s">
        <v>30</v>
      </c>
      <c r="D7" s="22"/>
      <c r="E7" s="81" t="s">
        <v>31</v>
      </c>
      <c r="F7" s="7" t="s">
        <v>32</v>
      </c>
      <c r="G7" s="3" t="s">
        <v>33</v>
      </c>
      <c r="H7" s="4" t="s">
        <v>34</v>
      </c>
      <c r="I7" s="59">
        <v>30</v>
      </c>
      <c r="J7" s="8">
        <v>50000</v>
      </c>
      <c r="K7" s="49">
        <v>40000</v>
      </c>
      <c r="L7" s="50">
        <v>10000</v>
      </c>
      <c r="M7" s="30">
        <f>J7+K7+L7</f>
        <v>100000</v>
      </c>
      <c r="N7" s="8">
        <f t="shared" ref="N7:N16" si="0">M7</f>
        <v>100000</v>
      </c>
      <c r="O7" s="6">
        <f t="shared" ref="O7:O27" si="1">ROUND(J7/$AA$3*I7,0)</f>
        <v>50000</v>
      </c>
      <c r="P7" s="6">
        <f t="shared" ref="P7:P27" si="2">ROUND(K7/$AA$3*I7,0)</f>
        <v>40000</v>
      </c>
      <c r="Q7" s="6">
        <f t="shared" ref="Q7:Q27" si="3">ROUND(L7/$AA$3*I7,0)</f>
        <v>10000</v>
      </c>
      <c r="R7" s="8"/>
      <c r="S7" s="16">
        <f t="shared" ref="S7" si="4">O7+P7+Q7</f>
        <v>100000</v>
      </c>
      <c r="T7" s="51">
        <v>0</v>
      </c>
      <c r="U7" s="51">
        <v>0</v>
      </c>
      <c r="V7" s="46"/>
      <c r="W7" s="30"/>
      <c r="X7" s="6">
        <f t="shared" ref="X7" si="5">T7+U7+V7+W7</f>
        <v>0</v>
      </c>
      <c r="Y7" s="16">
        <f t="shared" ref="Y7" si="6">S7-X7</f>
        <v>100000</v>
      </c>
      <c r="AA7" s="42"/>
    </row>
    <row r="8" spans="1:27">
      <c r="A8" s="8">
        <v>2</v>
      </c>
      <c r="B8" s="6" t="s">
        <v>30</v>
      </c>
      <c r="C8" s="22" t="s">
        <v>30</v>
      </c>
      <c r="D8" s="22"/>
      <c r="E8" s="81" t="s">
        <v>35</v>
      </c>
      <c r="F8" s="7" t="s">
        <v>36</v>
      </c>
      <c r="G8" s="3" t="s">
        <v>37</v>
      </c>
      <c r="H8" s="4" t="s">
        <v>38</v>
      </c>
      <c r="I8" s="59">
        <v>30</v>
      </c>
      <c r="J8" s="8">
        <v>50000</v>
      </c>
      <c r="K8" s="49">
        <v>40000</v>
      </c>
      <c r="L8" s="50">
        <v>10000</v>
      </c>
      <c r="M8" s="30">
        <f t="shared" ref="M8:M42" si="7">J8+K8+L8</f>
        <v>100000</v>
      </c>
      <c r="N8" s="8">
        <f t="shared" si="0"/>
        <v>100000</v>
      </c>
      <c r="O8" s="6">
        <f t="shared" si="1"/>
        <v>50000</v>
      </c>
      <c r="P8" s="6">
        <f t="shared" si="2"/>
        <v>40000</v>
      </c>
      <c r="Q8" s="6">
        <f t="shared" si="3"/>
        <v>10000</v>
      </c>
      <c r="R8" s="8"/>
      <c r="S8" s="16">
        <f t="shared" ref="S8:S47" si="8">O8+P8+Q8</f>
        <v>100000</v>
      </c>
      <c r="T8" s="51">
        <v>0</v>
      </c>
      <c r="U8" s="51">
        <v>0</v>
      </c>
      <c r="V8" s="44"/>
      <c r="W8" s="30"/>
      <c r="X8" s="6">
        <f t="shared" ref="X8:X48" si="9">T8+U8+V8+W8</f>
        <v>0</v>
      </c>
      <c r="Y8" s="16">
        <f t="shared" ref="Y8:Y48" si="10">S8-X8</f>
        <v>100000</v>
      </c>
      <c r="AA8" s="42"/>
    </row>
    <row r="9" spans="1:27">
      <c r="A9" s="8">
        <v>3</v>
      </c>
      <c r="B9" s="6" t="s">
        <v>30</v>
      </c>
      <c r="C9" s="22" t="s">
        <v>30</v>
      </c>
      <c r="D9" s="22"/>
      <c r="E9" s="81" t="s">
        <v>39</v>
      </c>
      <c r="F9" s="7" t="s">
        <v>40</v>
      </c>
      <c r="G9" s="3" t="s">
        <v>41</v>
      </c>
      <c r="H9" s="4" t="s">
        <v>42</v>
      </c>
      <c r="I9" s="59">
        <v>30</v>
      </c>
      <c r="J9" s="8">
        <v>150000</v>
      </c>
      <c r="K9" s="8">
        <v>120000</v>
      </c>
      <c r="L9" s="8">
        <v>30000</v>
      </c>
      <c r="M9" s="30">
        <f t="shared" si="7"/>
        <v>300000</v>
      </c>
      <c r="N9" s="8">
        <f t="shared" si="0"/>
        <v>300000</v>
      </c>
      <c r="O9" s="6">
        <f t="shared" si="1"/>
        <v>150000</v>
      </c>
      <c r="P9" s="6">
        <f t="shared" si="2"/>
        <v>120000</v>
      </c>
      <c r="Q9" s="6">
        <f t="shared" si="3"/>
        <v>30000</v>
      </c>
      <c r="R9" s="8"/>
      <c r="S9" s="16">
        <f t="shared" si="8"/>
        <v>300000</v>
      </c>
      <c r="T9" s="51">
        <v>0</v>
      </c>
      <c r="U9" s="51">
        <v>0</v>
      </c>
      <c r="V9" s="44"/>
      <c r="W9" s="30">
        <v>55000</v>
      </c>
      <c r="X9" s="6">
        <f t="shared" si="9"/>
        <v>55000</v>
      </c>
      <c r="Y9" s="16">
        <f t="shared" si="10"/>
        <v>245000</v>
      </c>
      <c r="AA9" s="42"/>
    </row>
    <row r="10" spans="1:27">
      <c r="A10" s="8">
        <v>4</v>
      </c>
      <c r="B10" s="38">
        <v>100624397758</v>
      </c>
      <c r="C10" s="22" t="s">
        <v>30</v>
      </c>
      <c r="D10" s="31" t="s">
        <v>43</v>
      </c>
      <c r="E10" s="82" t="s">
        <v>44</v>
      </c>
      <c r="F10" s="5" t="s">
        <v>45</v>
      </c>
      <c r="G10" s="1" t="s">
        <v>46</v>
      </c>
      <c r="H10" s="4">
        <v>740</v>
      </c>
      <c r="I10" s="12">
        <v>30</v>
      </c>
      <c r="J10" s="8">
        <v>20000</v>
      </c>
      <c r="K10" s="8">
        <v>16000</v>
      </c>
      <c r="L10" s="8">
        <v>4000</v>
      </c>
      <c r="M10" s="30">
        <f t="shared" si="7"/>
        <v>40000</v>
      </c>
      <c r="N10" s="8">
        <f t="shared" si="0"/>
        <v>40000</v>
      </c>
      <c r="O10" s="6">
        <f t="shared" si="1"/>
        <v>20000</v>
      </c>
      <c r="P10" s="6">
        <f t="shared" si="2"/>
        <v>16000</v>
      </c>
      <c r="Q10" s="6">
        <f t="shared" si="3"/>
        <v>4000</v>
      </c>
      <c r="R10" s="8"/>
      <c r="S10" s="16">
        <f t="shared" si="8"/>
        <v>40000</v>
      </c>
      <c r="T10" s="8">
        <f>ROUND(IF(J10&gt;15000,(15000/$AA$3*I10)*12%,O10*12%)*1,0)</f>
        <v>1800</v>
      </c>
      <c r="U10" s="51">
        <v>0</v>
      </c>
      <c r="V10" s="44"/>
      <c r="W10" s="30"/>
      <c r="X10" s="6">
        <f t="shared" si="9"/>
        <v>1800</v>
      </c>
      <c r="Y10" s="16">
        <f t="shared" si="10"/>
        <v>38200</v>
      </c>
      <c r="AA10" s="42"/>
    </row>
    <row r="11" spans="1:27">
      <c r="A11" s="8">
        <v>5</v>
      </c>
      <c r="B11" s="6">
        <v>101492673753</v>
      </c>
      <c r="C11" s="22" t="s">
        <v>30</v>
      </c>
      <c r="D11" s="22"/>
      <c r="E11" s="82" t="s">
        <v>47</v>
      </c>
      <c r="F11" s="7" t="s">
        <v>48</v>
      </c>
      <c r="G11" s="1" t="s">
        <v>49</v>
      </c>
      <c r="H11" s="4">
        <v>735</v>
      </c>
      <c r="I11" s="12">
        <v>30</v>
      </c>
      <c r="J11" s="8">
        <v>50000</v>
      </c>
      <c r="K11" s="8">
        <v>40000</v>
      </c>
      <c r="L11" s="8">
        <v>10000</v>
      </c>
      <c r="M11" s="30">
        <f t="shared" si="7"/>
        <v>100000</v>
      </c>
      <c r="N11" s="8">
        <f t="shared" si="0"/>
        <v>100000</v>
      </c>
      <c r="O11" s="6">
        <f t="shared" si="1"/>
        <v>50000</v>
      </c>
      <c r="P11" s="6">
        <f t="shared" si="2"/>
        <v>40000</v>
      </c>
      <c r="Q11" s="6">
        <f t="shared" si="3"/>
        <v>10000</v>
      </c>
      <c r="R11" s="8"/>
      <c r="S11" s="16">
        <f t="shared" si="8"/>
        <v>100000</v>
      </c>
      <c r="T11" s="8">
        <f t="shared" ref="T11:T16" si="11">ROUND(IF(J11&gt;15000,(15000/$AA$3*I11)*12%,O11*12%)*1,0)</f>
        <v>1800</v>
      </c>
      <c r="U11" s="51">
        <v>0</v>
      </c>
      <c r="V11" s="44"/>
      <c r="W11" s="30"/>
      <c r="X11" s="6">
        <f t="shared" si="9"/>
        <v>1800</v>
      </c>
      <c r="Y11" s="16">
        <f t="shared" si="10"/>
        <v>98200</v>
      </c>
    </row>
    <row r="12" spans="1:27">
      <c r="A12" s="8">
        <v>6</v>
      </c>
      <c r="B12" s="38">
        <v>101509191705</v>
      </c>
      <c r="C12" s="22" t="s">
        <v>30</v>
      </c>
      <c r="D12" s="22"/>
      <c r="E12" s="82" t="s">
        <v>50</v>
      </c>
      <c r="F12" s="7" t="s">
        <v>51</v>
      </c>
      <c r="G12" s="1" t="s">
        <v>52</v>
      </c>
      <c r="H12" s="4">
        <v>724</v>
      </c>
      <c r="I12" s="12">
        <v>30</v>
      </c>
      <c r="J12" s="8">
        <v>37500</v>
      </c>
      <c r="K12" s="8">
        <v>30000</v>
      </c>
      <c r="L12" s="8">
        <v>7500</v>
      </c>
      <c r="M12" s="30">
        <f t="shared" si="7"/>
        <v>75000</v>
      </c>
      <c r="N12" s="8">
        <f t="shared" si="0"/>
        <v>75000</v>
      </c>
      <c r="O12" s="6">
        <f t="shared" si="1"/>
        <v>37500</v>
      </c>
      <c r="P12" s="6">
        <f t="shared" si="2"/>
        <v>30000</v>
      </c>
      <c r="Q12" s="6">
        <f t="shared" si="3"/>
        <v>7500</v>
      </c>
      <c r="R12" s="8"/>
      <c r="S12" s="16">
        <f t="shared" si="8"/>
        <v>75000</v>
      </c>
      <c r="T12" s="8">
        <f t="shared" si="11"/>
        <v>1800</v>
      </c>
      <c r="U12" s="51">
        <v>0</v>
      </c>
      <c r="V12" s="44"/>
      <c r="W12" s="30"/>
      <c r="X12" s="6">
        <f t="shared" si="9"/>
        <v>1800</v>
      </c>
      <c r="Y12" s="16">
        <f t="shared" si="10"/>
        <v>73200</v>
      </c>
    </row>
    <row r="13" spans="1:27">
      <c r="A13" s="8">
        <v>7</v>
      </c>
      <c r="B13" s="38">
        <v>101551216178</v>
      </c>
      <c r="C13" s="22" t="s">
        <v>30</v>
      </c>
      <c r="D13" s="22"/>
      <c r="E13" s="82" t="s">
        <v>53</v>
      </c>
      <c r="F13" s="7" t="s">
        <v>54</v>
      </c>
      <c r="G13" s="1" t="s">
        <v>55</v>
      </c>
      <c r="H13" s="4">
        <v>723</v>
      </c>
      <c r="I13" s="12">
        <v>30</v>
      </c>
      <c r="J13" s="8">
        <v>30000</v>
      </c>
      <c r="K13" s="8">
        <v>24000</v>
      </c>
      <c r="L13" s="8">
        <v>6000</v>
      </c>
      <c r="M13" s="30">
        <f t="shared" si="7"/>
        <v>60000</v>
      </c>
      <c r="N13" s="8">
        <f t="shared" si="0"/>
        <v>60000</v>
      </c>
      <c r="O13" s="6">
        <f t="shared" si="1"/>
        <v>30000</v>
      </c>
      <c r="P13" s="6">
        <f t="shared" si="2"/>
        <v>24000</v>
      </c>
      <c r="Q13" s="6">
        <f t="shared" si="3"/>
        <v>6000</v>
      </c>
      <c r="R13" s="8"/>
      <c r="S13" s="16">
        <f t="shared" si="8"/>
        <v>60000</v>
      </c>
      <c r="T13" s="8">
        <f t="shared" si="11"/>
        <v>1800</v>
      </c>
      <c r="U13" s="51">
        <v>0</v>
      </c>
      <c r="V13" s="44"/>
      <c r="W13" s="30"/>
      <c r="X13" s="6">
        <f t="shared" si="9"/>
        <v>1800</v>
      </c>
      <c r="Y13" s="16">
        <f t="shared" si="10"/>
        <v>58200</v>
      </c>
    </row>
    <row r="14" spans="1:27">
      <c r="A14" s="8">
        <v>8</v>
      </c>
      <c r="B14" s="38">
        <v>101558256223</v>
      </c>
      <c r="C14" s="22" t="s">
        <v>30</v>
      </c>
      <c r="D14" s="22"/>
      <c r="E14" s="82" t="s">
        <v>56</v>
      </c>
      <c r="F14" s="7" t="s">
        <v>57</v>
      </c>
      <c r="G14" s="1" t="s">
        <v>58</v>
      </c>
      <c r="H14" s="4">
        <v>717</v>
      </c>
      <c r="I14" s="12">
        <v>30</v>
      </c>
      <c r="J14" s="8">
        <v>27500</v>
      </c>
      <c r="K14" s="8">
        <v>22000</v>
      </c>
      <c r="L14" s="8">
        <v>5500</v>
      </c>
      <c r="M14" s="30">
        <f t="shared" si="7"/>
        <v>55000</v>
      </c>
      <c r="N14" s="8">
        <f t="shared" si="0"/>
        <v>55000</v>
      </c>
      <c r="O14" s="6">
        <f t="shared" si="1"/>
        <v>27500</v>
      </c>
      <c r="P14" s="6">
        <f t="shared" si="2"/>
        <v>22000</v>
      </c>
      <c r="Q14" s="6">
        <f t="shared" si="3"/>
        <v>5500</v>
      </c>
      <c r="R14" s="8"/>
      <c r="S14" s="16">
        <f t="shared" si="8"/>
        <v>55000</v>
      </c>
      <c r="T14" s="8">
        <f t="shared" si="11"/>
        <v>1800</v>
      </c>
      <c r="U14" s="51">
        <v>0</v>
      </c>
      <c r="V14" s="44"/>
      <c r="W14" s="30"/>
      <c r="X14" s="6">
        <f t="shared" si="9"/>
        <v>1800</v>
      </c>
      <c r="Y14" s="16">
        <f t="shared" si="10"/>
        <v>53200</v>
      </c>
    </row>
    <row r="15" spans="1:27">
      <c r="A15" s="8">
        <v>9</v>
      </c>
      <c r="B15" s="38">
        <v>101086703725</v>
      </c>
      <c r="C15" s="22" t="s">
        <v>30</v>
      </c>
      <c r="D15" s="22"/>
      <c r="E15" s="81" t="s">
        <v>59</v>
      </c>
      <c r="F15" s="7" t="s">
        <v>60</v>
      </c>
      <c r="G15" s="1" t="s">
        <v>61</v>
      </c>
      <c r="H15" s="4">
        <v>720</v>
      </c>
      <c r="I15" s="12">
        <v>30</v>
      </c>
      <c r="J15" s="8">
        <v>60000</v>
      </c>
      <c r="K15" s="8">
        <v>48000</v>
      </c>
      <c r="L15" s="8">
        <v>12000</v>
      </c>
      <c r="M15" s="30">
        <f t="shared" si="7"/>
        <v>120000</v>
      </c>
      <c r="N15" s="8">
        <f t="shared" si="0"/>
        <v>120000</v>
      </c>
      <c r="O15" s="6">
        <f t="shared" si="1"/>
        <v>60000</v>
      </c>
      <c r="P15" s="6">
        <f t="shared" si="2"/>
        <v>48000</v>
      </c>
      <c r="Q15" s="6">
        <f t="shared" si="3"/>
        <v>12000</v>
      </c>
      <c r="R15" s="8"/>
      <c r="S15" s="16">
        <f t="shared" si="8"/>
        <v>120000</v>
      </c>
      <c r="T15" s="8">
        <f t="shared" si="11"/>
        <v>1800</v>
      </c>
      <c r="U15" s="51">
        <v>0</v>
      </c>
      <c r="V15" s="44"/>
      <c r="W15" s="30">
        <v>5000</v>
      </c>
      <c r="X15" s="6">
        <f t="shared" si="9"/>
        <v>6800</v>
      </c>
      <c r="Y15" s="16">
        <f t="shared" si="10"/>
        <v>113200</v>
      </c>
    </row>
    <row r="16" spans="1:27">
      <c r="A16" s="8">
        <v>10</v>
      </c>
      <c r="B16" s="38">
        <v>101025339783</v>
      </c>
      <c r="C16" s="22" t="s">
        <v>30</v>
      </c>
      <c r="D16" s="22"/>
      <c r="E16" s="81" t="s">
        <v>62</v>
      </c>
      <c r="F16" s="7" t="s">
        <v>63</v>
      </c>
      <c r="G16" s="1" t="s">
        <v>64</v>
      </c>
      <c r="H16" s="4">
        <v>719</v>
      </c>
      <c r="I16" s="12">
        <v>30</v>
      </c>
      <c r="J16" s="8">
        <v>60000</v>
      </c>
      <c r="K16" s="8">
        <v>48000</v>
      </c>
      <c r="L16" s="8">
        <v>12000</v>
      </c>
      <c r="M16" s="30">
        <f t="shared" si="7"/>
        <v>120000</v>
      </c>
      <c r="N16" s="8">
        <f t="shared" si="0"/>
        <v>120000</v>
      </c>
      <c r="O16" s="6">
        <f t="shared" si="1"/>
        <v>60000</v>
      </c>
      <c r="P16" s="6">
        <f t="shared" si="2"/>
        <v>48000</v>
      </c>
      <c r="Q16" s="6">
        <f t="shared" si="3"/>
        <v>12000</v>
      </c>
      <c r="R16" s="8"/>
      <c r="S16" s="16">
        <f t="shared" si="8"/>
        <v>120000</v>
      </c>
      <c r="T16" s="8">
        <f t="shared" si="11"/>
        <v>1800</v>
      </c>
      <c r="U16" s="51">
        <v>0</v>
      </c>
      <c r="V16" s="45"/>
      <c r="W16" s="30">
        <v>5000</v>
      </c>
      <c r="X16" s="6">
        <f t="shared" si="9"/>
        <v>6800</v>
      </c>
      <c r="Y16" s="16">
        <f t="shared" si="10"/>
        <v>113200</v>
      </c>
    </row>
    <row r="17" spans="1:28">
      <c r="A17" s="8">
        <v>11</v>
      </c>
      <c r="B17" s="38">
        <v>100347304092</v>
      </c>
      <c r="C17" s="22" t="s">
        <v>30</v>
      </c>
      <c r="D17" s="22"/>
      <c r="E17" s="88" t="s">
        <v>65</v>
      </c>
      <c r="F17" s="7" t="s">
        <v>66</v>
      </c>
      <c r="G17" s="3" t="s">
        <v>67</v>
      </c>
      <c r="H17" s="4">
        <v>706</v>
      </c>
      <c r="I17" s="12">
        <v>30</v>
      </c>
      <c r="J17" s="8">
        <v>25000</v>
      </c>
      <c r="K17" s="8">
        <v>20000</v>
      </c>
      <c r="L17" s="8">
        <v>5000</v>
      </c>
      <c r="M17" s="30">
        <f t="shared" si="7"/>
        <v>50000</v>
      </c>
      <c r="N17" s="8">
        <f t="shared" ref="N17:N42" si="12">M17</f>
        <v>50000</v>
      </c>
      <c r="O17" s="6">
        <f t="shared" si="1"/>
        <v>25000</v>
      </c>
      <c r="P17" s="6">
        <f t="shared" si="2"/>
        <v>20000</v>
      </c>
      <c r="Q17" s="6">
        <f t="shared" si="3"/>
        <v>5000</v>
      </c>
      <c r="R17" s="8"/>
      <c r="S17" s="16">
        <f t="shared" si="8"/>
        <v>50000</v>
      </c>
      <c r="T17" s="8">
        <f t="shared" ref="T17:T26" si="13">ROUND(IF(J17&gt;15000,(15000/$AA$3*I17)*12%,O17*12%)*1,0)</f>
        <v>1800</v>
      </c>
      <c r="U17" s="51">
        <v>0</v>
      </c>
      <c r="V17" s="44"/>
      <c r="W17" s="30"/>
      <c r="X17" s="6">
        <f t="shared" si="9"/>
        <v>1800</v>
      </c>
      <c r="Y17" s="16">
        <f t="shared" si="10"/>
        <v>48200</v>
      </c>
    </row>
    <row r="18" spans="1:28">
      <c r="A18" s="8">
        <v>12</v>
      </c>
      <c r="B18" s="38">
        <v>101662254756</v>
      </c>
      <c r="C18" s="22" t="s">
        <v>30</v>
      </c>
      <c r="D18" s="22"/>
      <c r="E18" s="88" t="s">
        <v>68</v>
      </c>
      <c r="F18" s="7" t="s">
        <v>69</v>
      </c>
      <c r="G18" s="3" t="s">
        <v>70</v>
      </c>
      <c r="H18" s="4">
        <v>701</v>
      </c>
      <c r="I18" s="12">
        <v>30</v>
      </c>
      <c r="J18" s="8">
        <v>36500</v>
      </c>
      <c r="K18" s="8">
        <v>29200</v>
      </c>
      <c r="L18" s="8">
        <v>7300</v>
      </c>
      <c r="M18" s="30">
        <f t="shared" si="7"/>
        <v>73000</v>
      </c>
      <c r="N18" s="8">
        <f t="shared" si="12"/>
        <v>73000</v>
      </c>
      <c r="O18" s="6">
        <f t="shared" si="1"/>
        <v>36500</v>
      </c>
      <c r="P18" s="6">
        <f t="shared" si="2"/>
        <v>29200</v>
      </c>
      <c r="Q18" s="6">
        <f t="shared" si="3"/>
        <v>7300</v>
      </c>
      <c r="R18" s="8"/>
      <c r="S18" s="16">
        <f t="shared" si="8"/>
        <v>73000</v>
      </c>
      <c r="T18" s="8">
        <f t="shared" si="13"/>
        <v>1800</v>
      </c>
      <c r="U18" s="51">
        <v>0</v>
      </c>
      <c r="V18" s="44"/>
      <c r="W18" s="30"/>
      <c r="X18" s="6">
        <f t="shared" si="9"/>
        <v>1800</v>
      </c>
      <c r="Y18" s="16">
        <f t="shared" si="10"/>
        <v>71200</v>
      </c>
    </row>
    <row r="19" spans="1:28">
      <c r="A19" s="8">
        <v>13</v>
      </c>
      <c r="B19" s="38">
        <v>101135768925</v>
      </c>
      <c r="C19" s="22" t="s">
        <v>30</v>
      </c>
      <c r="D19" s="22"/>
      <c r="E19" s="88" t="s">
        <v>71</v>
      </c>
      <c r="F19" s="7" t="s">
        <v>72</v>
      </c>
      <c r="G19" s="3" t="s">
        <v>73</v>
      </c>
      <c r="H19" s="4">
        <v>699</v>
      </c>
      <c r="I19" s="12">
        <v>30</v>
      </c>
      <c r="J19" s="8">
        <v>25000</v>
      </c>
      <c r="K19" s="8">
        <v>20000</v>
      </c>
      <c r="L19" s="8">
        <v>5000</v>
      </c>
      <c r="M19" s="30">
        <f t="shared" si="7"/>
        <v>50000</v>
      </c>
      <c r="N19" s="8">
        <f t="shared" si="12"/>
        <v>50000</v>
      </c>
      <c r="O19" s="6">
        <f t="shared" si="1"/>
        <v>25000</v>
      </c>
      <c r="P19" s="6">
        <f t="shared" si="2"/>
        <v>20000</v>
      </c>
      <c r="Q19" s="6">
        <f t="shared" si="3"/>
        <v>5000</v>
      </c>
      <c r="R19" s="8"/>
      <c r="S19" s="16">
        <f t="shared" si="8"/>
        <v>50000</v>
      </c>
      <c r="T19" s="8">
        <f t="shared" si="13"/>
        <v>1800</v>
      </c>
      <c r="U19" s="51">
        <v>0</v>
      </c>
      <c r="V19" s="44"/>
      <c r="W19" s="30"/>
      <c r="X19" s="6">
        <f t="shared" si="9"/>
        <v>1800</v>
      </c>
      <c r="Y19" s="16">
        <f t="shared" si="10"/>
        <v>48200</v>
      </c>
    </row>
    <row r="20" spans="1:28">
      <c r="A20" s="8">
        <v>14</v>
      </c>
      <c r="B20" s="38">
        <v>100585048855</v>
      </c>
      <c r="C20" s="22" t="s">
        <v>30</v>
      </c>
      <c r="D20" s="31" t="s">
        <v>43</v>
      </c>
      <c r="E20" s="88" t="s">
        <v>74</v>
      </c>
      <c r="F20" s="7" t="s">
        <v>75</v>
      </c>
      <c r="G20" s="3" t="s">
        <v>76</v>
      </c>
      <c r="H20" s="4">
        <v>696</v>
      </c>
      <c r="I20" s="12">
        <v>30</v>
      </c>
      <c r="J20" s="8">
        <v>25000</v>
      </c>
      <c r="K20" s="8">
        <v>20000</v>
      </c>
      <c r="L20" s="8">
        <v>5000</v>
      </c>
      <c r="M20" s="30">
        <f t="shared" si="7"/>
        <v>50000</v>
      </c>
      <c r="N20" s="8">
        <f t="shared" si="12"/>
        <v>50000</v>
      </c>
      <c r="O20" s="6">
        <f t="shared" si="1"/>
        <v>25000</v>
      </c>
      <c r="P20" s="6">
        <f t="shared" si="2"/>
        <v>20000</v>
      </c>
      <c r="Q20" s="6">
        <f t="shared" si="3"/>
        <v>5000</v>
      </c>
      <c r="R20" s="8"/>
      <c r="S20" s="16">
        <f t="shared" si="8"/>
        <v>50000</v>
      </c>
      <c r="T20" s="8">
        <f t="shared" si="13"/>
        <v>1800</v>
      </c>
      <c r="U20" s="51">
        <v>0</v>
      </c>
      <c r="V20" s="44"/>
      <c r="W20" s="30"/>
      <c r="X20" s="6">
        <f t="shared" si="9"/>
        <v>1800</v>
      </c>
      <c r="Y20" s="16">
        <f t="shared" si="10"/>
        <v>48200</v>
      </c>
    </row>
    <row r="21" spans="1:28">
      <c r="A21" s="8">
        <v>15</v>
      </c>
      <c r="B21" s="38">
        <v>101713964656</v>
      </c>
      <c r="C21" s="22" t="s">
        <v>30</v>
      </c>
      <c r="D21" s="22"/>
      <c r="E21" s="83" t="s">
        <v>77</v>
      </c>
      <c r="F21" s="10" t="s">
        <v>78</v>
      </c>
      <c r="G21" s="3" t="s">
        <v>79</v>
      </c>
      <c r="H21" s="4">
        <v>693</v>
      </c>
      <c r="I21" s="12">
        <v>30</v>
      </c>
      <c r="J21" s="8">
        <v>15180</v>
      </c>
      <c r="K21" s="8">
        <v>12144</v>
      </c>
      <c r="L21" s="8">
        <v>3036</v>
      </c>
      <c r="M21" s="30">
        <f t="shared" si="7"/>
        <v>30360</v>
      </c>
      <c r="N21" s="8">
        <f t="shared" si="12"/>
        <v>30360</v>
      </c>
      <c r="O21" s="6">
        <f t="shared" si="1"/>
        <v>15180</v>
      </c>
      <c r="P21" s="6">
        <f t="shared" si="2"/>
        <v>12144</v>
      </c>
      <c r="Q21" s="6">
        <f t="shared" si="3"/>
        <v>3036</v>
      </c>
      <c r="R21" s="8"/>
      <c r="S21" s="16">
        <f t="shared" si="8"/>
        <v>30360</v>
      </c>
      <c r="T21" s="8">
        <f t="shared" si="13"/>
        <v>1800</v>
      </c>
      <c r="U21" s="51">
        <v>0</v>
      </c>
      <c r="V21" s="44"/>
      <c r="W21" s="30"/>
      <c r="X21" s="6">
        <f t="shared" si="9"/>
        <v>1800</v>
      </c>
      <c r="Y21" s="16">
        <f t="shared" si="10"/>
        <v>28560</v>
      </c>
    </row>
    <row r="22" spans="1:28">
      <c r="A22" s="8">
        <v>16</v>
      </c>
      <c r="B22" s="38">
        <v>101713964687</v>
      </c>
      <c r="C22" s="22">
        <v>6720277768</v>
      </c>
      <c r="D22" s="31" t="s">
        <v>43</v>
      </c>
      <c r="E22" s="88" t="s">
        <v>80</v>
      </c>
      <c r="F22" s="10" t="s">
        <v>81</v>
      </c>
      <c r="G22" s="29"/>
      <c r="H22" s="4" t="s">
        <v>82</v>
      </c>
      <c r="I22" s="12">
        <v>30</v>
      </c>
      <c r="J22" s="8">
        <v>13580</v>
      </c>
      <c r="K22" s="8">
        <v>1420</v>
      </c>
      <c r="L22" s="8">
        <v>0</v>
      </c>
      <c r="M22" s="30">
        <f t="shared" si="7"/>
        <v>15000</v>
      </c>
      <c r="N22" s="8">
        <f t="shared" si="12"/>
        <v>15000</v>
      </c>
      <c r="O22" s="6">
        <f t="shared" si="1"/>
        <v>13580</v>
      </c>
      <c r="P22" s="6">
        <f t="shared" si="2"/>
        <v>1420</v>
      </c>
      <c r="Q22" s="6">
        <f t="shared" si="3"/>
        <v>0</v>
      </c>
      <c r="R22" s="8"/>
      <c r="S22" s="16">
        <f t="shared" si="8"/>
        <v>15000</v>
      </c>
      <c r="T22" s="8">
        <f t="shared" si="13"/>
        <v>1630</v>
      </c>
      <c r="U22" s="6">
        <f>ROUNDUP(S22*0.75/100,0)</f>
        <v>113</v>
      </c>
      <c r="V22" s="44"/>
      <c r="W22" s="30"/>
      <c r="X22" s="6">
        <f t="shared" si="9"/>
        <v>1743</v>
      </c>
      <c r="Y22" s="16">
        <f t="shared" si="10"/>
        <v>13257</v>
      </c>
    </row>
    <row r="23" spans="1:28">
      <c r="A23" s="8">
        <v>17</v>
      </c>
      <c r="B23" s="38">
        <v>100578617888</v>
      </c>
      <c r="C23" s="22" t="s">
        <v>30</v>
      </c>
      <c r="D23" s="31"/>
      <c r="E23" s="88" t="s">
        <v>83</v>
      </c>
      <c r="F23" s="10" t="s">
        <v>84</v>
      </c>
      <c r="G23" s="3" t="s">
        <v>85</v>
      </c>
      <c r="H23" s="4">
        <v>692</v>
      </c>
      <c r="I23" s="12">
        <v>30</v>
      </c>
      <c r="J23" s="8">
        <v>23499</v>
      </c>
      <c r="K23" s="8">
        <v>18799</v>
      </c>
      <c r="L23" s="8">
        <v>4700</v>
      </c>
      <c r="M23" s="30">
        <f t="shared" si="7"/>
        <v>46998</v>
      </c>
      <c r="N23" s="8">
        <f t="shared" si="12"/>
        <v>46998</v>
      </c>
      <c r="O23" s="6">
        <f t="shared" si="1"/>
        <v>23499</v>
      </c>
      <c r="P23" s="6">
        <f t="shared" si="2"/>
        <v>18799</v>
      </c>
      <c r="Q23" s="6">
        <f t="shared" si="3"/>
        <v>4700</v>
      </c>
      <c r="R23" s="8"/>
      <c r="S23" s="16">
        <f t="shared" si="8"/>
        <v>46998</v>
      </c>
      <c r="T23" s="8">
        <f t="shared" si="13"/>
        <v>1800</v>
      </c>
      <c r="U23" s="51">
        <v>0</v>
      </c>
      <c r="V23" s="44"/>
      <c r="W23" s="30"/>
      <c r="X23" s="6">
        <f t="shared" si="9"/>
        <v>1800</v>
      </c>
      <c r="Y23" s="16">
        <f t="shared" si="10"/>
        <v>45198</v>
      </c>
    </row>
    <row r="24" spans="1:28">
      <c r="A24" s="8">
        <v>18</v>
      </c>
      <c r="B24" s="38">
        <v>100913349350</v>
      </c>
      <c r="C24" s="22" t="s">
        <v>30</v>
      </c>
      <c r="D24" s="31"/>
      <c r="E24" s="87" t="s">
        <v>86</v>
      </c>
      <c r="F24" s="66" t="s">
        <v>87</v>
      </c>
      <c r="G24" s="67" t="s">
        <v>88</v>
      </c>
      <c r="H24" s="4">
        <v>678</v>
      </c>
      <c r="I24" s="12">
        <v>30</v>
      </c>
      <c r="J24" s="8">
        <v>32500</v>
      </c>
      <c r="K24" s="8">
        <v>26000</v>
      </c>
      <c r="L24" s="8">
        <v>6500</v>
      </c>
      <c r="M24" s="30">
        <f t="shared" si="7"/>
        <v>65000</v>
      </c>
      <c r="N24" s="8">
        <f t="shared" si="12"/>
        <v>65000</v>
      </c>
      <c r="O24" s="6">
        <f t="shared" si="1"/>
        <v>32500</v>
      </c>
      <c r="P24" s="6">
        <f t="shared" si="2"/>
        <v>26000</v>
      </c>
      <c r="Q24" s="6">
        <f t="shared" si="3"/>
        <v>6500</v>
      </c>
      <c r="R24" s="8"/>
      <c r="S24" s="16">
        <f t="shared" si="8"/>
        <v>65000</v>
      </c>
      <c r="T24" s="8">
        <f t="shared" si="13"/>
        <v>1800</v>
      </c>
      <c r="U24" s="51">
        <v>0</v>
      </c>
      <c r="V24" s="44"/>
      <c r="W24" s="30"/>
      <c r="X24" s="6">
        <f t="shared" si="9"/>
        <v>1800</v>
      </c>
      <c r="Y24" s="16">
        <f t="shared" si="10"/>
        <v>63200</v>
      </c>
    </row>
    <row r="25" spans="1:28">
      <c r="A25" s="8">
        <v>19</v>
      </c>
      <c r="B25" s="38">
        <v>101678785195</v>
      </c>
      <c r="C25" s="31" t="s">
        <v>30</v>
      </c>
      <c r="D25" s="31" t="s">
        <v>43</v>
      </c>
      <c r="E25" s="93" t="s">
        <v>89</v>
      </c>
      <c r="F25" s="9" t="s">
        <v>90</v>
      </c>
      <c r="G25" s="11" t="s">
        <v>91</v>
      </c>
      <c r="H25" s="4">
        <v>672</v>
      </c>
      <c r="I25" s="12">
        <v>28.5</v>
      </c>
      <c r="J25" s="8">
        <v>16900</v>
      </c>
      <c r="K25" s="8">
        <v>13520</v>
      </c>
      <c r="L25" s="8">
        <v>3380</v>
      </c>
      <c r="M25" s="30">
        <f t="shared" si="7"/>
        <v>33800</v>
      </c>
      <c r="N25" s="8">
        <f t="shared" si="12"/>
        <v>33800</v>
      </c>
      <c r="O25" s="6">
        <f t="shared" si="1"/>
        <v>16055</v>
      </c>
      <c r="P25" s="6">
        <f t="shared" si="2"/>
        <v>12844</v>
      </c>
      <c r="Q25" s="6">
        <f t="shared" si="3"/>
        <v>3211</v>
      </c>
      <c r="R25" s="8"/>
      <c r="S25" s="16">
        <f t="shared" si="8"/>
        <v>32110</v>
      </c>
      <c r="T25" s="8">
        <f t="shared" si="13"/>
        <v>1710</v>
      </c>
      <c r="U25" s="51">
        <v>0</v>
      </c>
      <c r="V25" s="44"/>
      <c r="W25" s="30"/>
      <c r="X25" s="6">
        <f t="shared" si="9"/>
        <v>1710</v>
      </c>
      <c r="Y25" s="16">
        <f t="shared" si="10"/>
        <v>30400</v>
      </c>
    </row>
    <row r="26" spans="1:28">
      <c r="A26" s="8">
        <v>20</v>
      </c>
      <c r="B26" s="38">
        <v>101105629468</v>
      </c>
      <c r="C26" s="22" t="s">
        <v>30</v>
      </c>
      <c r="D26" s="31"/>
      <c r="E26" s="94" t="s">
        <v>92</v>
      </c>
      <c r="F26" s="68" t="s">
        <v>93</v>
      </c>
      <c r="G26" s="69" t="s">
        <v>94</v>
      </c>
      <c r="H26" s="4">
        <v>668</v>
      </c>
      <c r="I26" s="12">
        <v>30</v>
      </c>
      <c r="J26" s="8">
        <v>21000</v>
      </c>
      <c r="K26" s="8">
        <v>16800</v>
      </c>
      <c r="L26" s="8">
        <v>4200</v>
      </c>
      <c r="M26" s="30">
        <f t="shared" si="7"/>
        <v>42000</v>
      </c>
      <c r="N26" s="8">
        <f t="shared" si="12"/>
        <v>42000</v>
      </c>
      <c r="O26" s="6">
        <f t="shared" si="1"/>
        <v>21000</v>
      </c>
      <c r="P26" s="6">
        <f t="shared" si="2"/>
        <v>16800</v>
      </c>
      <c r="Q26" s="6">
        <f t="shared" si="3"/>
        <v>4200</v>
      </c>
      <c r="R26" s="8"/>
      <c r="S26" s="16">
        <f t="shared" si="8"/>
        <v>42000</v>
      </c>
      <c r="T26" s="8">
        <f t="shared" si="13"/>
        <v>1800</v>
      </c>
      <c r="U26" s="51">
        <v>0</v>
      </c>
      <c r="V26" s="44"/>
      <c r="W26" s="30"/>
      <c r="X26" s="6">
        <f t="shared" si="9"/>
        <v>1800</v>
      </c>
      <c r="Y26" s="16">
        <f t="shared" si="10"/>
        <v>40200</v>
      </c>
    </row>
    <row r="27" spans="1:28">
      <c r="A27" s="8">
        <v>21</v>
      </c>
      <c r="B27" s="38">
        <v>101814883693</v>
      </c>
      <c r="C27" s="22" t="s">
        <v>30</v>
      </c>
      <c r="D27" s="31"/>
      <c r="E27" s="93" t="s">
        <v>95</v>
      </c>
      <c r="F27" s="9" t="s">
        <v>96</v>
      </c>
      <c r="G27" s="11" t="s">
        <v>97</v>
      </c>
      <c r="H27" s="4">
        <v>661</v>
      </c>
      <c r="I27" s="96">
        <v>30</v>
      </c>
      <c r="J27" s="8">
        <v>28500</v>
      </c>
      <c r="K27" s="8">
        <v>22800</v>
      </c>
      <c r="L27" s="8">
        <v>5700</v>
      </c>
      <c r="M27" s="30">
        <f t="shared" si="7"/>
        <v>57000</v>
      </c>
      <c r="N27" s="8">
        <f t="shared" si="12"/>
        <v>57000</v>
      </c>
      <c r="O27" s="6">
        <f t="shared" si="1"/>
        <v>28500</v>
      </c>
      <c r="P27" s="6">
        <f t="shared" si="2"/>
        <v>22800</v>
      </c>
      <c r="Q27" s="6">
        <f t="shared" si="3"/>
        <v>5700</v>
      </c>
      <c r="R27" s="8"/>
      <c r="S27" s="16">
        <f t="shared" si="8"/>
        <v>57000</v>
      </c>
      <c r="T27" s="8">
        <f>ROUND(IF(J27&gt;15000,(15000/$AA$3*I27)*12%,O27*12%)*1,0)</f>
        <v>1800</v>
      </c>
      <c r="U27" s="51">
        <v>0</v>
      </c>
      <c r="V27" s="44"/>
      <c r="W27" s="30"/>
      <c r="X27" s="6">
        <f t="shared" si="9"/>
        <v>1800</v>
      </c>
      <c r="Y27" s="16">
        <f t="shared" si="10"/>
        <v>55200</v>
      </c>
    </row>
    <row r="28" spans="1:28">
      <c r="A28" s="8">
        <v>22</v>
      </c>
      <c r="B28" s="38">
        <v>101814883686</v>
      </c>
      <c r="C28" s="22" t="s">
        <v>30</v>
      </c>
      <c r="D28" s="31" t="s">
        <v>43</v>
      </c>
      <c r="E28" s="93" t="s">
        <v>98</v>
      </c>
      <c r="F28" s="9" t="s">
        <v>99</v>
      </c>
      <c r="G28" s="11" t="s">
        <v>100</v>
      </c>
      <c r="H28" s="4">
        <v>655</v>
      </c>
      <c r="I28" s="12">
        <v>29.5</v>
      </c>
      <c r="J28" s="8">
        <v>25000</v>
      </c>
      <c r="K28" s="8">
        <v>20000</v>
      </c>
      <c r="L28" s="8">
        <v>5000</v>
      </c>
      <c r="M28" s="30">
        <f t="shared" si="7"/>
        <v>50000</v>
      </c>
      <c r="N28" s="8">
        <f t="shared" si="12"/>
        <v>50000</v>
      </c>
      <c r="O28" s="6">
        <f t="shared" ref="O28:O52" si="14">ROUND(J28/$AA$3*I28,0)</f>
        <v>24583</v>
      </c>
      <c r="P28" s="6">
        <f t="shared" ref="P28:P52" si="15">ROUND(K28/$AA$3*I28,0)</f>
        <v>19667</v>
      </c>
      <c r="Q28" s="6">
        <f t="shared" ref="Q28:Q52" si="16">ROUND(L28/$AA$3*I28,0)</f>
        <v>4917</v>
      </c>
      <c r="R28" s="8"/>
      <c r="S28" s="16">
        <f t="shared" si="8"/>
        <v>49167</v>
      </c>
      <c r="T28" s="8">
        <f>ROUND(IF(J28&gt;15000,(15000/$AA$3*I28)*12%,O28*12%)*1,0)</f>
        <v>1770</v>
      </c>
      <c r="U28" s="51">
        <v>0</v>
      </c>
      <c r="V28" s="44"/>
      <c r="W28" s="30"/>
      <c r="X28" s="6">
        <f t="shared" si="9"/>
        <v>1770</v>
      </c>
      <c r="Y28" s="16">
        <f t="shared" si="10"/>
        <v>47397</v>
      </c>
    </row>
    <row r="29" spans="1:28">
      <c r="A29" s="8">
        <v>23</v>
      </c>
      <c r="B29" s="38">
        <v>101814883655</v>
      </c>
      <c r="C29" s="31" t="s">
        <v>30</v>
      </c>
      <c r="D29" s="31" t="s">
        <v>43</v>
      </c>
      <c r="E29" s="93" t="s">
        <v>101</v>
      </c>
      <c r="F29" s="14" t="s">
        <v>102</v>
      </c>
      <c r="G29" s="18" t="s">
        <v>103</v>
      </c>
      <c r="H29" s="4">
        <v>653</v>
      </c>
      <c r="I29" s="12">
        <v>30</v>
      </c>
      <c r="J29" s="8">
        <v>30000</v>
      </c>
      <c r="K29" s="8">
        <v>24000</v>
      </c>
      <c r="L29" s="8">
        <v>6000</v>
      </c>
      <c r="M29" s="30">
        <f t="shared" si="7"/>
        <v>60000</v>
      </c>
      <c r="N29" s="8">
        <f t="shared" si="12"/>
        <v>60000</v>
      </c>
      <c r="O29" s="6">
        <f t="shared" si="14"/>
        <v>30000</v>
      </c>
      <c r="P29" s="6">
        <f t="shared" si="15"/>
        <v>24000</v>
      </c>
      <c r="Q29" s="6">
        <f t="shared" si="16"/>
        <v>6000</v>
      </c>
      <c r="R29" s="8"/>
      <c r="S29" s="16">
        <f t="shared" si="8"/>
        <v>60000</v>
      </c>
      <c r="T29" s="8">
        <f>ROUND(IF(J29&gt;15000,(15000/$AA$3*I29)*12%,O29*12%)*1,0)</f>
        <v>1800</v>
      </c>
      <c r="U29" s="51">
        <v>0</v>
      </c>
      <c r="V29" s="44"/>
      <c r="W29" s="30"/>
      <c r="X29" s="6">
        <f t="shared" si="9"/>
        <v>1800</v>
      </c>
      <c r="Y29" s="16">
        <f t="shared" si="10"/>
        <v>58200</v>
      </c>
    </row>
    <row r="30" spans="1:28">
      <c r="A30" s="8">
        <v>24</v>
      </c>
      <c r="B30" s="38">
        <v>101718975064</v>
      </c>
      <c r="C30" s="22" t="s">
        <v>30</v>
      </c>
      <c r="D30" s="22"/>
      <c r="E30" s="88" t="s">
        <v>104</v>
      </c>
      <c r="F30" s="21" t="s">
        <v>105</v>
      </c>
      <c r="G30" s="11" t="s">
        <v>106</v>
      </c>
      <c r="H30" s="4">
        <v>645</v>
      </c>
      <c r="I30" s="12">
        <v>30</v>
      </c>
      <c r="J30" s="8">
        <v>22500</v>
      </c>
      <c r="K30" s="8">
        <v>18000</v>
      </c>
      <c r="L30" s="8">
        <v>4500</v>
      </c>
      <c r="M30" s="30">
        <f t="shared" si="7"/>
        <v>45000</v>
      </c>
      <c r="N30" s="8">
        <f t="shared" si="12"/>
        <v>45000</v>
      </c>
      <c r="O30" s="6">
        <f t="shared" si="14"/>
        <v>22500</v>
      </c>
      <c r="P30" s="6">
        <f t="shared" si="15"/>
        <v>18000</v>
      </c>
      <c r="Q30" s="6">
        <f t="shared" si="16"/>
        <v>4500</v>
      </c>
      <c r="R30" s="8"/>
      <c r="S30" s="16">
        <f t="shared" si="8"/>
        <v>45000</v>
      </c>
      <c r="T30" s="8">
        <f t="shared" ref="T30:T38" si="17">ROUND(IF(J30&gt;15000,(15000/$AA$3*I30)*12%,O30*12%)*1,0)</f>
        <v>1800</v>
      </c>
      <c r="U30" s="51">
        <v>0</v>
      </c>
      <c r="V30" s="44"/>
      <c r="W30" s="30"/>
      <c r="X30" s="6">
        <f t="shared" si="9"/>
        <v>1800</v>
      </c>
      <c r="Y30" s="16">
        <f t="shared" si="10"/>
        <v>43200</v>
      </c>
    </row>
    <row r="31" spans="1:28">
      <c r="A31" s="8">
        <v>25</v>
      </c>
      <c r="B31" s="38">
        <v>100672922853</v>
      </c>
      <c r="C31" s="22" t="s">
        <v>30</v>
      </c>
      <c r="D31" s="22"/>
      <c r="E31" s="88" t="s">
        <v>107</v>
      </c>
      <c r="F31" s="13" t="s">
        <v>108</v>
      </c>
      <c r="G31" s="11" t="s">
        <v>109</v>
      </c>
      <c r="H31" s="4">
        <v>626</v>
      </c>
      <c r="I31" s="12">
        <v>30</v>
      </c>
      <c r="J31" s="8">
        <v>26500</v>
      </c>
      <c r="K31" s="8">
        <v>21200</v>
      </c>
      <c r="L31" s="8">
        <v>5300</v>
      </c>
      <c r="M31" s="30">
        <f t="shared" si="7"/>
        <v>53000</v>
      </c>
      <c r="N31" s="8">
        <f t="shared" si="12"/>
        <v>53000</v>
      </c>
      <c r="O31" s="6">
        <f t="shared" si="14"/>
        <v>26500</v>
      </c>
      <c r="P31" s="6">
        <f t="shared" si="15"/>
        <v>21200</v>
      </c>
      <c r="Q31" s="6">
        <f t="shared" si="16"/>
        <v>5300</v>
      </c>
      <c r="R31" s="8"/>
      <c r="S31" s="16">
        <f t="shared" si="8"/>
        <v>53000</v>
      </c>
      <c r="T31" s="8">
        <f t="shared" si="17"/>
        <v>1800</v>
      </c>
      <c r="U31" s="51">
        <v>0</v>
      </c>
      <c r="V31" s="44"/>
      <c r="W31" s="30"/>
      <c r="X31" s="6">
        <f t="shared" si="9"/>
        <v>1800</v>
      </c>
      <c r="Y31" s="16">
        <f t="shared" si="10"/>
        <v>51200</v>
      </c>
    </row>
    <row r="32" spans="1:28" ht="15.75">
      <c r="A32" s="8">
        <v>26</v>
      </c>
      <c r="B32" s="38">
        <v>101873522737</v>
      </c>
      <c r="C32" s="22" t="s">
        <v>30</v>
      </c>
      <c r="D32" s="22"/>
      <c r="E32" s="87" t="s">
        <v>110</v>
      </c>
      <c r="F32" s="21" t="s">
        <v>111</v>
      </c>
      <c r="G32" s="91" t="s">
        <v>112</v>
      </c>
      <c r="H32" s="4">
        <v>608</v>
      </c>
      <c r="I32" s="12">
        <v>29.5</v>
      </c>
      <c r="J32" s="8">
        <v>22000</v>
      </c>
      <c r="K32" s="8">
        <v>17600</v>
      </c>
      <c r="L32" s="8">
        <v>4400</v>
      </c>
      <c r="M32" s="30">
        <f t="shared" si="7"/>
        <v>44000</v>
      </c>
      <c r="N32" s="8">
        <f t="shared" si="12"/>
        <v>44000</v>
      </c>
      <c r="O32" s="6">
        <f t="shared" si="14"/>
        <v>21633</v>
      </c>
      <c r="P32" s="6">
        <f t="shared" si="15"/>
        <v>17307</v>
      </c>
      <c r="Q32" s="6">
        <f t="shared" si="16"/>
        <v>4327</v>
      </c>
      <c r="R32" s="8"/>
      <c r="S32" s="16">
        <f t="shared" si="8"/>
        <v>43267</v>
      </c>
      <c r="T32" s="8">
        <f t="shared" si="17"/>
        <v>1770</v>
      </c>
      <c r="U32" s="51">
        <v>0</v>
      </c>
      <c r="V32" s="44"/>
      <c r="W32" s="30"/>
      <c r="X32" s="6">
        <f t="shared" si="9"/>
        <v>1770</v>
      </c>
      <c r="Y32" s="16">
        <f t="shared" si="10"/>
        <v>41497</v>
      </c>
      <c r="AA32" s="92"/>
      <c r="AB32" s="92"/>
    </row>
    <row r="33" spans="1:28">
      <c r="A33" s="8">
        <v>27</v>
      </c>
      <c r="B33" s="38">
        <v>101884646872</v>
      </c>
      <c r="C33" s="22" t="s">
        <v>30</v>
      </c>
      <c r="D33" s="22"/>
      <c r="E33" s="88" t="s">
        <v>113</v>
      </c>
      <c r="F33" s="13" t="s">
        <v>114</v>
      </c>
      <c r="G33" s="11" t="s">
        <v>115</v>
      </c>
      <c r="H33" s="4">
        <v>597</v>
      </c>
      <c r="I33" s="12">
        <v>30</v>
      </c>
      <c r="J33" s="8">
        <v>20000</v>
      </c>
      <c r="K33" s="8">
        <v>16000</v>
      </c>
      <c r="L33" s="8">
        <v>4000</v>
      </c>
      <c r="M33" s="30">
        <f t="shared" si="7"/>
        <v>40000</v>
      </c>
      <c r="N33" s="8">
        <f t="shared" si="12"/>
        <v>40000</v>
      </c>
      <c r="O33" s="6">
        <f t="shared" si="14"/>
        <v>20000</v>
      </c>
      <c r="P33" s="6">
        <f t="shared" si="15"/>
        <v>16000</v>
      </c>
      <c r="Q33" s="6">
        <f t="shared" si="16"/>
        <v>4000</v>
      </c>
      <c r="R33" s="8"/>
      <c r="S33" s="16">
        <f t="shared" si="8"/>
        <v>40000</v>
      </c>
      <c r="T33" s="8">
        <f t="shared" si="17"/>
        <v>1800</v>
      </c>
      <c r="U33" s="51">
        <v>0</v>
      </c>
      <c r="V33" s="44"/>
      <c r="W33" s="30"/>
      <c r="X33" s="6">
        <f t="shared" si="9"/>
        <v>1800</v>
      </c>
      <c r="Y33" s="16">
        <f t="shared" si="10"/>
        <v>38200</v>
      </c>
    </row>
    <row r="34" spans="1:28">
      <c r="A34" s="8">
        <v>28</v>
      </c>
      <c r="B34" s="38">
        <v>101862841566</v>
      </c>
      <c r="C34" s="31" t="s">
        <v>30</v>
      </c>
      <c r="D34" s="31"/>
      <c r="E34" s="88" t="s">
        <v>116</v>
      </c>
      <c r="F34" s="13" t="s">
        <v>117</v>
      </c>
      <c r="G34" s="11" t="s">
        <v>118</v>
      </c>
      <c r="H34" s="4">
        <v>594</v>
      </c>
      <c r="I34" s="12">
        <v>30</v>
      </c>
      <c r="J34" s="8">
        <v>25000</v>
      </c>
      <c r="K34" s="8">
        <v>20000</v>
      </c>
      <c r="L34" s="8">
        <v>5000</v>
      </c>
      <c r="M34" s="30">
        <f t="shared" si="7"/>
        <v>50000</v>
      </c>
      <c r="N34" s="8">
        <f t="shared" si="12"/>
        <v>50000</v>
      </c>
      <c r="O34" s="6">
        <f t="shared" si="14"/>
        <v>25000</v>
      </c>
      <c r="P34" s="6">
        <f t="shared" si="15"/>
        <v>20000</v>
      </c>
      <c r="Q34" s="6">
        <f t="shared" si="16"/>
        <v>5000</v>
      </c>
      <c r="R34" s="8"/>
      <c r="S34" s="16">
        <f t="shared" si="8"/>
        <v>50000</v>
      </c>
      <c r="T34" s="8">
        <f t="shared" si="17"/>
        <v>1800</v>
      </c>
      <c r="U34" s="51">
        <v>0</v>
      </c>
      <c r="V34" s="44"/>
      <c r="W34" s="30"/>
      <c r="X34" s="6">
        <f t="shared" si="9"/>
        <v>1800</v>
      </c>
      <c r="Y34" s="16">
        <f t="shared" si="10"/>
        <v>48200</v>
      </c>
    </row>
    <row r="35" spans="1:28">
      <c r="A35" s="8">
        <v>29</v>
      </c>
      <c r="B35" s="38">
        <v>101906803290</v>
      </c>
      <c r="C35" s="31" t="s">
        <v>30</v>
      </c>
      <c r="D35" s="31" t="s">
        <v>43</v>
      </c>
      <c r="E35" s="88" t="s">
        <v>119</v>
      </c>
      <c r="F35" s="13" t="s">
        <v>120</v>
      </c>
      <c r="G35" s="11" t="s">
        <v>121</v>
      </c>
      <c r="H35" s="4">
        <v>590</v>
      </c>
      <c r="I35" s="12">
        <v>30</v>
      </c>
      <c r="J35" s="8">
        <v>15000</v>
      </c>
      <c r="K35" s="8">
        <v>12000</v>
      </c>
      <c r="L35" s="8">
        <v>3000</v>
      </c>
      <c r="M35" s="30">
        <f t="shared" si="7"/>
        <v>30000</v>
      </c>
      <c r="N35" s="8">
        <f t="shared" si="12"/>
        <v>30000</v>
      </c>
      <c r="O35" s="6">
        <f t="shared" si="14"/>
        <v>15000</v>
      </c>
      <c r="P35" s="6">
        <f t="shared" si="15"/>
        <v>12000</v>
      </c>
      <c r="Q35" s="6">
        <f t="shared" si="16"/>
        <v>3000</v>
      </c>
      <c r="R35" s="8"/>
      <c r="S35" s="16">
        <f t="shared" si="8"/>
        <v>30000</v>
      </c>
      <c r="T35" s="8">
        <f t="shared" si="17"/>
        <v>1800</v>
      </c>
      <c r="U35" s="51">
        <v>0</v>
      </c>
      <c r="V35" s="44"/>
      <c r="W35" s="30"/>
      <c r="X35" s="6">
        <f t="shared" si="9"/>
        <v>1800</v>
      </c>
      <c r="Y35" s="16">
        <f t="shared" si="10"/>
        <v>28200</v>
      </c>
    </row>
    <row r="36" spans="1:28">
      <c r="A36" s="8">
        <v>30</v>
      </c>
      <c r="B36" s="38">
        <v>101402796468</v>
      </c>
      <c r="C36" s="31">
        <v>6721780978</v>
      </c>
      <c r="D36" s="31"/>
      <c r="E36" s="88" t="s">
        <v>122</v>
      </c>
      <c r="F36" s="17" t="s">
        <v>123</v>
      </c>
      <c r="G36" s="18" t="s">
        <v>124</v>
      </c>
      <c r="H36" s="4">
        <v>589</v>
      </c>
      <c r="I36" s="12">
        <v>30</v>
      </c>
      <c r="J36" s="8">
        <v>13580</v>
      </c>
      <c r="K36" s="8">
        <v>10000</v>
      </c>
      <c r="L36" s="8">
        <v>1420</v>
      </c>
      <c r="M36" s="30">
        <f t="shared" si="7"/>
        <v>25000</v>
      </c>
      <c r="N36" s="8">
        <f t="shared" si="12"/>
        <v>25000</v>
      </c>
      <c r="O36" s="6">
        <f t="shared" si="14"/>
        <v>13580</v>
      </c>
      <c r="P36" s="6">
        <f t="shared" si="15"/>
        <v>10000</v>
      </c>
      <c r="Q36" s="6">
        <f t="shared" si="16"/>
        <v>1420</v>
      </c>
      <c r="R36" s="8"/>
      <c r="S36" s="16">
        <f t="shared" si="8"/>
        <v>25000</v>
      </c>
      <c r="T36" s="8">
        <f t="shared" si="17"/>
        <v>1630</v>
      </c>
      <c r="U36" s="51">
        <v>0</v>
      </c>
      <c r="V36" s="44"/>
      <c r="W36" s="30"/>
      <c r="X36" s="6">
        <f t="shared" si="9"/>
        <v>1630</v>
      </c>
      <c r="Y36" s="16">
        <f t="shared" si="10"/>
        <v>23370</v>
      </c>
    </row>
    <row r="37" spans="1:28">
      <c r="A37" s="8">
        <v>31</v>
      </c>
      <c r="B37" s="38">
        <v>101916581759</v>
      </c>
      <c r="C37" s="31" t="s">
        <v>30</v>
      </c>
      <c r="D37" s="31"/>
      <c r="E37" s="90" t="s">
        <v>125</v>
      </c>
      <c r="F37" s="17" t="s">
        <v>126</v>
      </c>
      <c r="G37" s="18" t="s">
        <v>127</v>
      </c>
      <c r="H37" s="4">
        <v>586</v>
      </c>
      <c r="I37" s="12">
        <v>30</v>
      </c>
      <c r="J37" s="8">
        <v>15000</v>
      </c>
      <c r="K37" s="8">
        <v>12000</v>
      </c>
      <c r="L37" s="8">
        <v>3000</v>
      </c>
      <c r="M37" s="30">
        <f t="shared" si="7"/>
        <v>30000</v>
      </c>
      <c r="N37" s="8">
        <f t="shared" si="12"/>
        <v>30000</v>
      </c>
      <c r="O37" s="6">
        <f t="shared" si="14"/>
        <v>15000</v>
      </c>
      <c r="P37" s="6">
        <f t="shared" si="15"/>
        <v>12000</v>
      </c>
      <c r="Q37" s="6">
        <f t="shared" si="16"/>
        <v>3000</v>
      </c>
      <c r="R37" s="8"/>
      <c r="S37" s="16">
        <f t="shared" si="8"/>
        <v>30000</v>
      </c>
      <c r="T37" s="8">
        <f t="shared" si="17"/>
        <v>1800</v>
      </c>
      <c r="U37" s="51">
        <v>0</v>
      </c>
      <c r="V37" s="44"/>
      <c r="W37" s="30"/>
      <c r="X37" s="6">
        <f t="shared" si="9"/>
        <v>1800</v>
      </c>
      <c r="Y37" s="16">
        <f t="shared" si="10"/>
        <v>28200</v>
      </c>
    </row>
    <row r="38" spans="1:28">
      <c r="A38" s="8">
        <v>32</v>
      </c>
      <c r="B38" s="38">
        <v>101916581744</v>
      </c>
      <c r="C38" s="22" t="s">
        <v>30</v>
      </c>
      <c r="D38" s="22" t="s">
        <v>43</v>
      </c>
      <c r="E38" s="90" t="s">
        <v>128</v>
      </c>
      <c r="F38" s="17" t="s">
        <v>129</v>
      </c>
      <c r="G38" s="18" t="s">
        <v>130</v>
      </c>
      <c r="H38" s="4">
        <v>578</v>
      </c>
      <c r="I38" s="12">
        <v>30</v>
      </c>
      <c r="J38" s="8">
        <v>25000</v>
      </c>
      <c r="K38" s="8">
        <v>20000</v>
      </c>
      <c r="L38" s="8">
        <v>5000</v>
      </c>
      <c r="M38" s="30">
        <f t="shared" si="7"/>
        <v>50000</v>
      </c>
      <c r="N38" s="8">
        <f t="shared" si="12"/>
        <v>50000</v>
      </c>
      <c r="O38" s="6">
        <f t="shared" si="14"/>
        <v>25000</v>
      </c>
      <c r="P38" s="6">
        <f t="shared" si="15"/>
        <v>20000</v>
      </c>
      <c r="Q38" s="6">
        <f t="shared" si="16"/>
        <v>5000</v>
      </c>
      <c r="R38" s="8"/>
      <c r="S38" s="16">
        <f t="shared" si="8"/>
        <v>50000</v>
      </c>
      <c r="T38" s="8">
        <f t="shared" si="17"/>
        <v>1800</v>
      </c>
      <c r="U38" s="51">
        <v>0</v>
      </c>
      <c r="V38" s="44"/>
      <c r="W38" s="30"/>
      <c r="X38" s="6">
        <f t="shared" si="9"/>
        <v>1800</v>
      </c>
      <c r="Y38" s="16">
        <f t="shared" si="10"/>
        <v>48200</v>
      </c>
    </row>
    <row r="39" spans="1:28">
      <c r="A39" s="8">
        <v>33</v>
      </c>
      <c r="B39" s="38">
        <v>101925953930</v>
      </c>
      <c r="C39" s="31" t="s">
        <v>30</v>
      </c>
      <c r="D39" s="31" t="s">
        <v>43</v>
      </c>
      <c r="E39" s="84" t="s">
        <v>131</v>
      </c>
      <c r="F39" s="17" t="s">
        <v>132</v>
      </c>
      <c r="G39" s="18" t="s">
        <v>133</v>
      </c>
      <c r="H39" s="4">
        <v>570</v>
      </c>
      <c r="I39" s="12">
        <v>30</v>
      </c>
      <c r="J39" s="8">
        <v>13580</v>
      </c>
      <c r="K39" s="8">
        <v>9600</v>
      </c>
      <c r="L39" s="8">
        <v>820</v>
      </c>
      <c r="M39" s="30">
        <f t="shared" si="7"/>
        <v>24000</v>
      </c>
      <c r="N39" s="8">
        <f t="shared" si="12"/>
        <v>24000</v>
      </c>
      <c r="O39" s="6">
        <f t="shared" si="14"/>
        <v>13580</v>
      </c>
      <c r="P39" s="6">
        <f t="shared" si="15"/>
        <v>9600</v>
      </c>
      <c r="Q39" s="6">
        <f t="shared" si="16"/>
        <v>820</v>
      </c>
      <c r="R39" s="8"/>
      <c r="S39" s="16">
        <f t="shared" si="8"/>
        <v>24000</v>
      </c>
      <c r="T39" s="8">
        <f t="shared" ref="T39:T50" si="18">ROUND(IF(J39&gt;15000,(15000/$AA$3*I39)*12%,O39*12%)*1,0)</f>
        <v>1630</v>
      </c>
      <c r="U39" s="51">
        <v>0</v>
      </c>
      <c r="V39" s="44"/>
      <c r="W39" s="30"/>
      <c r="X39" s="6">
        <f t="shared" si="9"/>
        <v>1630</v>
      </c>
      <c r="Y39" s="16">
        <f t="shared" si="10"/>
        <v>22370</v>
      </c>
    </row>
    <row r="40" spans="1:28">
      <c r="A40" s="8">
        <v>34</v>
      </c>
      <c r="B40" s="38">
        <v>101926085236</v>
      </c>
      <c r="C40" s="31">
        <v>6721973793</v>
      </c>
      <c r="D40" s="31" t="s">
        <v>43</v>
      </c>
      <c r="E40" s="90" t="s">
        <v>134</v>
      </c>
      <c r="F40" s="17" t="s">
        <v>135</v>
      </c>
      <c r="G40" s="18" t="s">
        <v>136</v>
      </c>
      <c r="H40" s="4">
        <v>566</v>
      </c>
      <c r="I40" s="12">
        <v>30</v>
      </c>
      <c r="J40" s="8">
        <v>13580</v>
      </c>
      <c r="K40" s="8">
        <v>9216</v>
      </c>
      <c r="L40" s="8">
        <v>244</v>
      </c>
      <c r="M40" s="30">
        <f t="shared" si="7"/>
        <v>23040</v>
      </c>
      <c r="N40" s="8">
        <f t="shared" si="12"/>
        <v>23040</v>
      </c>
      <c r="O40" s="6">
        <f t="shared" si="14"/>
        <v>13580</v>
      </c>
      <c r="P40" s="6">
        <f t="shared" si="15"/>
        <v>9216</v>
      </c>
      <c r="Q40" s="6">
        <f t="shared" si="16"/>
        <v>244</v>
      </c>
      <c r="R40" s="8"/>
      <c r="S40" s="16">
        <f t="shared" si="8"/>
        <v>23040</v>
      </c>
      <c r="T40" s="8">
        <f t="shared" si="18"/>
        <v>1630</v>
      </c>
      <c r="U40" s="51">
        <v>0</v>
      </c>
      <c r="V40" s="44"/>
      <c r="W40" s="30"/>
      <c r="X40" s="6">
        <f t="shared" si="9"/>
        <v>1630</v>
      </c>
      <c r="Y40" s="16">
        <f t="shared" si="10"/>
        <v>21410</v>
      </c>
    </row>
    <row r="41" spans="1:28">
      <c r="A41" s="8">
        <v>35</v>
      </c>
      <c r="B41" s="38">
        <v>101945834671</v>
      </c>
      <c r="C41" s="31" t="s">
        <v>30</v>
      </c>
      <c r="D41" s="31"/>
      <c r="E41" s="89" t="s">
        <v>137</v>
      </c>
      <c r="F41" s="17" t="s">
        <v>138</v>
      </c>
      <c r="G41" s="18" t="s">
        <v>139</v>
      </c>
      <c r="H41" s="4">
        <v>557</v>
      </c>
      <c r="I41" s="12">
        <v>30</v>
      </c>
      <c r="J41" s="8">
        <v>23500</v>
      </c>
      <c r="K41" s="8">
        <v>18800</v>
      </c>
      <c r="L41" s="8">
        <v>4700</v>
      </c>
      <c r="M41" s="30">
        <f t="shared" si="7"/>
        <v>47000</v>
      </c>
      <c r="N41" s="8">
        <f t="shared" si="12"/>
        <v>47000</v>
      </c>
      <c r="O41" s="6">
        <f t="shared" si="14"/>
        <v>23500</v>
      </c>
      <c r="P41" s="6">
        <f t="shared" si="15"/>
        <v>18800</v>
      </c>
      <c r="Q41" s="6">
        <f t="shared" si="16"/>
        <v>4700</v>
      </c>
      <c r="R41" s="8"/>
      <c r="S41" s="16">
        <f t="shared" si="8"/>
        <v>47000</v>
      </c>
      <c r="T41" s="8">
        <f t="shared" si="18"/>
        <v>1800</v>
      </c>
      <c r="U41" s="51">
        <v>0</v>
      </c>
      <c r="V41" s="44"/>
      <c r="W41" s="30"/>
      <c r="X41" s="6">
        <f t="shared" si="9"/>
        <v>1800</v>
      </c>
      <c r="Y41" s="16">
        <f t="shared" si="10"/>
        <v>45200</v>
      </c>
    </row>
    <row r="42" spans="1:28">
      <c r="A42" s="8">
        <v>36</v>
      </c>
      <c r="B42" s="38">
        <v>101945834663</v>
      </c>
      <c r="C42" s="22" t="s">
        <v>30</v>
      </c>
      <c r="D42" s="22"/>
      <c r="E42" s="89" t="s">
        <v>140</v>
      </c>
      <c r="F42" s="17" t="s">
        <v>141</v>
      </c>
      <c r="G42" s="18" t="s">
        <v>142</v>
      </c>
      <c r="H42" s="4">
        <v>556</v>
      </c>
      <c r="I42" s="12">
        <v>29.5</v>
      </c>
      <c r="J42" s="8">
        <v>21000</v>
      </c>
      <c r="K42" s="8">
        <v>16800</v>
      </c>
      <c r="L42" s="8">
        <v>4200</v>
      </c>
      <c r="M42" s="30">
        <f t="shared" si="7"/>
        <v>42000</v>
      </c>
      <c r="N42" s="8">
        <f t="shared" si="12"/>
        <v>42000</v>
      </c>
      <c r="O42" s="6">
        <f t="shared" si="14"/>
        <v>20650</v>
      </c>
      <c r="P42" s="6">
        <f t="shared" si="15"/>
        <v>16520</v>
      </c>
      <c r="Q42" s="6">
        <f t="shared" si="16"/>
        <v>4130</v>
      </c>
      <c r="R42" s="8"/>
      <c r="S42" s="16">
        <f t="shared" si="8"/>
        <v>41300</v>
      </c>
      <c r="T42" s="8">
        <f t="shared" si="18"/>
        <v>1770</v>
      </c>
      <c r="U42" s="51">
        <v>0</v>
      </c>
      <c r="V42" s="44"/>
      <c r="W42" s="30"/>
      <c r="X42" s="6">
        <f t="shared" si="9"/>
        <v>1770</v>
      </c>
      <c r="Y42" s="16">
        <f t="shared" si="10"/>
        <v>39530</v>
      </c>
    </row>
    <row r="43" spans="1:28">
      <c r="A43" s="8">
        <v>37</v>
      </c>
      <c r="B43" s="24">
        <v>101319485302</v>
      </c>
      <c r="C43" s="22" t="s">
        <v>30</v>
      </c>
      <c r="D43" s="28"/>
      <c r="E43" s="86" t="s">
        <v>143</v>
      </c>
      <c r="F43" s="25" t="s">
        <v>144</v>
      </c>
      <c r="G43" s="26" t="s">
        <v>145</v>
      </c>
      <c r="H43" s="4">
        <v>501</v>
      </c>
      <c r="I43" s="12">
        <v>30</v>
      </c>
      <c r="J43" s="52">
        <v>17500</v>
      </c>
      <c r="K43" s="52">
        <v>14000</v>
      </c>
      <c r="L43" s="52">
        <v>3500</v>
      </c>
      <c r="M43" s="30">
        <f t="shared" ref="M43:M65" si="19">J43+K43+L43</f>
        <v>35000</v>
      </c>
      <c r="N43" s="8">
        <f t="shared" ref="N43:N65" si="20">M43</f>
        <v>35000</v>
      </c>
      <c r="O43" s="6">
        <f t="shared" si="14"/>
        <v>17500</v>
      </c>
      <c r="P43" s="6">
        <f t="shared" si="15"/>
        <v>14000</v>
      </c>
      <c r="Q43" s="6">
        <f t="shared" si="16"/>
        <v>3500</v>
      </c>
      <c r="R43" s="8"/>
      <c r="S43" s="16">
        <f t="shared" si="8"/>
        <v>35000</v>
      </c>
      <c r="T43" s="8">
        <f t="shared" si="18"/>
        <v>1800</v>
      </c>
      <c r="U43" s="51">
        <v>0</v>
      </c>
      <c r="V43" s="44"/>
      <c r="W43" s="30"/>
      <c r="X43" s="6">
        <f t="shared" si="9"/>
        <v>1800</v>
      </c>
      <c r="Y43" s="16">
        <f t="shared" si="10"/>
        <v>33200</v>
      </c>
    </row>
    <row r="44" spans="1:28">
      <c r="A44" s="8">
        <v>38</v>
      </c>
      <c r="B44" s="6">
        <v>101278039699</v>
      </c>
      <c r="C44" s="22" t="s">
        <v>30</v>
      </c>
      <c r="D44" s="28"/>
      <c r="E44" s="86" t="s">
        <v>146</v>
      </c>
      <c r="F44" s="25" t="s">
        <v>147</v>
      </c>
      <c r="G44" s="26" t="s">
        <v>148</v>
      </c>
      <c r="H44" s="4">
        <v>492</v>
      </c>
      <c r="I44" s="12">
        <v>30</v>
      </c>
      <c r="J44" s="52">
        <v>35000</v>
      </c>
      <c r="K44" s="52">
        <v>28000</v>
      </c>
      <c r="L44" s="52">
        <v>7000</v>
      </c>
      <c r="M44" s="30">
        <f t="shared" si="19"/>
        <v>70000</v>
      </c>
      <c r="N44" s="8">
        <f t="shared" si="20"/>
        <v>70000</v>
      </c>
      <c r="O44" s="6">
        <f t="shared" si="14"/>
        <v>35000</v>
      </c>
      <c r="P44" s="6">
        <f t="shared" si="15"/>
        <v>28000</v>
      </c>
      <c r="Q44" s="6">
        <f t="shared" si="16"/>
        <v>7000</v>
      </c>
      <c r="R44" s="8"/>
      <c r="S44" s="16">
        <f t="shared" si="8"/>
        <v>70000</v>
      </c>
      <c r="T44" s="8">
        <f t="shared" si="18"/>
        <v>1800</v>
      </c>
      <c r="U44" s="51">
        <v>0</v>
      </c>
      <c r="V44" s="44"/>
      <c r="W44" s="30"/>
      <c r="X44" s="6">
        <f t="shared" si="9"/>
        <v>1800</v>
      </c>
      <c r="Y44" s="16">
        <f t="shared" si="10"/>
        <v>68200</v>
      </c>
      <c r="AB44" s="43"/>
    </row>
    <row r="45" spans="1:28">
      <c r="A45" s="8">
        <v>39</v>
      </c>
      <c r="B45" s="24">
        <v>101814580069</v>
      </c>
      <c r="C45" s="32">
        <v>6722884490</v>
      </c>
      <c r="D45" s="32"/>
      <c r="E45" s="86" t="s">
        <v>149</v>
      </c>
      <c r="F45" s="25" t="s">
        <v>150</v>
      </c>
      <c r="G45" s="26" t="s">
        <v>151</v>
      </c>
      <c r="H45" s="4">
        <v>489</v>
      </c>
      <c r="I45" s="12">
        <v>30</v>
      </c>
      <c r="J45" s="8">
        <v>15000</v>
      </c>
      <c r="K45" s="8">
        <v>12000</v>
      </c>
      <c r="L45" s="8">
        <v>3000</v>
      </c>
      <c r="M45" s="30">
        <f t="shared" si="19"/>
        <v>30000</v>
      </c>
      <c r="N45" s="8">
        <f t="shared" si="20"/>
        <v>30000</v>
      </c>
      <c r="O45" s="6">
        <f t="shared" si="14"/>
        <v>15000</v>
      </c>
      <c r="P45" s="6">
        <f t="shared" si="15"/>
        <v>12000</v>
      </c>
      <c r="Q45" s="6">
        <f t="shared" si="16"/>
        <v>3000</v>
      </c>
      <c r="R45" s="8"/>
      <c r="S45" s="16">
        <f t="shared" si="8"/>
        <v>30000</v>
      </c>
      <c r="T45" s="8">
        <f t="shared" si="18"/>
        <v>1800</v>
      </c>
      <c r="U45" s="51">
        <v>0</v>
      </c>
      <c r="V45" s="44"/>
      <c r="W45" s="30"/>
      <c r="X45" s="6">
        <f t="shared" si="9"/>
        <v>1800</v>
      </c>
      <c r="Y45" s="16">
        <f t="shared" si="10"/>
        <v>28200</v>
      </c>
    </row>
    <row r="46" spans="1:28">
      <c r="A46" s="8">
        <v>40</v>
      </c>
      <c r="B46" s="24">
        <v>102012294186</v>
      </c>
      <c r="C46" s="32">
        <v>6722885599</v>
      </c>
      <c r="D46" s="32"/>
      <c r="E46" s="86" t="s">
        <v>152</v>
      </c>
      <c r="F46" s="25" t="s">
        <v>153</v>
      </c>
      <c r="G46" s="26" t="s">
        <v>154</v>
      </c>
      <c r="H46" s="4">
        <v>487</v>
      </c>
      <c r="I46" s="12">
        <v>30</v>
      </c>
      <c r="J46" s="8">
        <v>15000</v>
      </c>
      <c r="K46" s="8">
        <v>12000</v>
      </c>
      <c r="L46" s="8">
        <v>3000</v>
      </c>
      <c r="M46" s="30">
        <f t="shared" si="19"/>
        <v>30000</v>
      </c>
      <c r="N46" s="8">
        <f t="shared" si="20"/>
        <v>30000</v>
      </c>
      <c r="O46" s="6">
        <f t="shared" si="14"/>
        <v>15000</v>
      </c>
      <c r="P46" s="6">
        <f t="shared" si="15"/>
        <v>12000</v>
      </c>
      <c r="Q46" s="6">
        <f t="shared" si="16"/>
        <v>3000</v>
      </c>
      <c r="R46" s="8"/>
      <c r="S46" s="16">
        <f t="shared" si="8"/>
        <v>30000</v>
      </c>
      <c r="T46" s="8">
        <f t="shared" si="18"/>
        <v>1800</v>
      </c>
      <c r="U46" s="51">
        <v>0</v>
      </c>
      <c r="V46" s="44"/>
      <c r="W46" s="30"/>
      <c r="X46" s="6">
        <f t="shared" si="9"/>
        <v>1800</v>
      </c>
      <c r="Y46" s="16">
        <f t="shared" si="10"/>
        <v>28200</v>
      </c>
    </row>
    <row r="47" spans="1:28">
      <c r="A47" s="8">
        <v>41</v>
      </c>
      <c r="B47" s="24">
        <v>102030195818</v>
      </c>
      <c r="C47" s="32" t="s">
        <v>30</v>
      </c>
      <c r="D47" s="32"/>
      <c r="E47" s="86" t="s">
        <v>155</v>
      </c>
      <c r="F47" s="25" t="s">
        <v>156</v>
      </c>
      <c r="G47" s="26" t="s">
        <v>157</v>
      </c>
      <c r="H47" s="4">
        <v>483</v>
      </c>
      <c r="I47" s="12">
        <v>30</v>
      </c>
      <c r="J47" s="8">
        <v>25000</v>
      </c>
      <c r="K47" s="8">
        <v>20000</v>
      </c>
      <c r="L47" s="8">
        <v>5000</v>
      </c>
      <c r="M47" s="30">
        <f t="shared" si="19"/>
        <v>50000</v>
      </c>
      <c r="N47" s="8">
        <f t="shared" si="20"/>
        <v>50000</v>
      </c>
      <c r="O47" s="6">
        <f t="shared" si="14"/>
        <v>25000</v>
      </c>
      <c r="P47" s="6">
        <f t="shared" si="15"/>
        <v>20000</v>
      </c>
      <c r="Q47" s="6">
        <f t="shared" si="16"/>
        <v>5000</v>
      </c>
      <c r="R47" s="8"/>
      <c r="S47" s="16">
        <f t="shared" si="8"/>
        <v>50000</v>
      </c>
      <c r="T47" s="8">
        <f t="shared" si="18"/>
        <v>1800</v>
      </c>
      <c r="U47" s="51">
        <v>0</v>
      </c>
      <c r="V47" s="44"/>
      <c r="W47" s="30"/>
      <c r="X47" s="6">
        <f t="shared" si="9"/>
        <v>1800</v>
      </c>
      <c r="Y47" s="16">
        <f t="shared" si="10"/>
        <v>48200</v>
      </c>
    </row>
    <row r="48" spans="1:28">
      <c r="A48" s="8">
        <v>42</v>
      </c>
      <c r="B48" s="24">
        <v>101916791881</v>
      </c>
      <c r="C48" s="32" t="s">
        <v>30</v>
      </c>
      <c r="D48" s="32"/>
      <c r="E48" s="86" t="s">
        <v>158</v>
      </c>
      <c r="F48" s="25" t="s">
        <v>159</v>
      </c>
      <c r="G48" s="26" t="s">
        <v>160</v>
      </c>
      <c r="H48" s="4">
        <v>757</v>
      </c>
      <c r="I48" s="12">
        <v>30</v>
      </c>
      <c r="J48" s="8">
        <v>42500</v>
      </c>
      <c r="K48" s="8">
        <v>34000</v>
      </c>
      <c r="L48" s="8">
        <v>8500</v>
      </c>
      <c r="M48" s="30">
        <f t="shared" si="19"/>
        <v>85000</v>
      </c>
      <c r="N48" s="8">
        <f t="shared" si="20"/>
        <v>85000</v>
      </c>
      <c r="O48" s="6">
        <f t="shared" si="14"/>
        <v>42500</v>
      </c>
      <c r="P48" s="6">
        <f t="shared" si="15"/>
        <v>34000</v>
      </c>
      <c r="Q48" s="6">
        <f t="shared" si="16"/>
        <v>8500</v>
      </c>
      <c r="R48" s="8"/>
      <c r="S48" s="16">
        <f t="shared" ref="S48:S81" si="21">O48+P48+Q48</f>
        <v>85000</v>
      </c>
      <c r="T48" s="8">
        <f t="shared" si="18"/>
        <v>1800</v>
      </c>
      <c r="U48" s="51">
        <v>0</v>
      </c>
      <c r="V48" s="44"/>
      <c r="W48" s="30"/>
      <c r="X48" s="6">
        <f t="shared" si="9"/>
        <v>1800</v>
      </c>
      <c r="Y48" s="16">
        <f t="shared" si="10"/>
        <v>83200</v>
      </c>
    </row>
    <row r="49" spans="1:25">
      <c r="A49" s="8">
        <v>43</v>
      </c>
      <c r="B49" s="24">
        <v>102038815575</v>
      </c>
      <c r="C49" s="32">
        <v>6723082722</v>
      </c>
      <c r="D49" s="32" t="s">
        <v>43</v>
      </c>
      <c r="E49" s="86" t="s">
        <v>161</v>
      </c>
      <c r="F49" s="25" t="s">
        <v>162</v>
      </c>
      <c r="G49" s="26" t="s">
        <v>163</v>
      </c>
      <c r="H49" s="4">
        <v>460</v>
      </c>
      <c r="I49" s="12">
        <v>29.5</v>
      </c>
      <c r="J49" s="8">
        <v>13580</v>
      </c>
      <c r="K49" s="8">
        <v>8020</v>
      </c>
      <c r="L49" s="8">
        <v>0</v>
      </c>
      <c r="M49" s="30">
        <f t="shared" si="19"/>
        <v>21600</v>
      </c>
      <c r="N49" s="8">
        <f t="shared" si="20"/>
        <v>21600</v>
      </c>
      <c r="O49" s="6">
        <f t="shared" si="14"/>
        <v>13354</v>
      </c>
      <c r="P49" s="6">
        <f t="shared" si="15"/>
        <v>7886</v>
      </c>
      <c r="Q49" s="6">
        <f t="shared" si="16"/>
        <v>0</v>
      </c>
      <c r="R49" s="8"/>
      <c r="S49" s="16">
        <f t="shared" si="21"/>
        <v>21240</v>
      </c>
      <c r="T49" s="8">
        <f t="shared" si="18"/>
        <v>1602</v>
      </c>
      <c r="U49" s="51">
        <v>0</v>
      </c>
      <c r="V49" s="95">
        <v>5000</v>
      </c>
      <c r="W49" s="30"/>
      <c r="X49" s="6">
        <f t="shared" ref="X49:X87" si="22">T49+U49+V49+W49</f>
        <v>6602</v>
      </c>
      <c r="Y49" s="16">
        <f t="shared" ref="Y49:Y87" si="23">S49-X49</f>
        <v>14638</v>
      </c>
    </row>
    <row r="50" spans="1:25">
      <c r="A50" s="8">
        <v>44</v>
      </c>
      <c r="B50" s="24">
        <v>102050502778</v>
      </c>
      <c r="C50" s="32">
        <v>6723159923</v>
      </c>
      <c r="D50" s="32" t="s">
        <v>43</v>
      </c>
      <c r="E50" s="86" t="s">
        <v>50</v>
      </c>
      <c r="F50" s="25" t="s">
        <v>164</v>
      </c>
      <c r="G50" s="26" t="s">
        <v>165</v>
      </c>
      <c r="H50" s="4">
        <v>450</v>
      </c>
      <c r="I50" s="12">
        <v>30</v>
      </c>
      <c r="J50" s="8">
        <v>13580</v>
      </c>
      <c r="K50" s="8">
        <v>10000</v>
      </c>
      <c r="L50" s="8">
        <v>1420</v>
      </c>
      <c r="M50" s="30">
        <f t="shared" si="19"/>
        <v>25000</v>
      </c>
      <c r="N50" s="8">
        <f t="shared" si="20"/>
        <v>25000</v>
      </c>
      <c r="O50" s="6">
        <f t="shared" si="14"/>
        <v>13580</v>
      </c>
      <c r="P50" s="6">
        <f t="shared" si="15"/>
        <v>10000</v>
      </c>
      <c r="Q50" s="6">
        <f t="shared" si="16"/>
        <v>1420</v>
      </c>
      <c r="R50" s="8"/>
      <c r="S50" s="16">
        <f t="shared" si="21"/>
        <v>25000</v>
      </c>
      <c r="T50" s="8">
        <f t="shared" si="18"/>
        <v>1630</v>
      </c>
      <c r="U50" s="51">
        <v>0</v>
      </c>
      <c r="V50" s="44"/>
      <c r="W50" s="30"/>
      <c r="X50" s="6">
        <f t="shared" si="22"/>
        <v>1630</v>
      </c>
      <c r="Y50" s="16">
        <f t="shared" si="23"/>
        <v>23370</v>
      </c>
    </row>
    <row r="51" spans="1:25">
      <c r="A51" s="8">
        <v>45</v>
      </c>
      <c r="B51" s="24">
        <v>101604389617</v>
      </c>
      <c r="C51" s="32" t="s">
        <v>30</v>
      </c>
      <c r="D51" s="32"/>
      <c r="E51" s="86" t="s">
        <v>166</v>
      </c>
      <c r="F51" s="35" t="s">
        <v>167</v>
      </c>
      <c r="G51" s="26" t="s">
        <v>168</v>
      </c>
      <c r="H51" s="4">
        <v>413</v>
      </c>
      <c r="I51" s="12">
        <v>30</v>
      </c>
      <c r="J51" s="8">
        <v>29250</v>
      </c>
      <c r="K51" s="8">
        <v>23400</v>
      </c>
      <c r="L51" s="8">
        <v>5850</v>
      </c>
      <c r="M51" s="30">
        <f t="shared" si="19"/>
        <v>58500</v>
      </c>
      <c r="N51" s="8">
        <f t="shared" si="20"/>
        <v>58500</v>
      </c>
      <c r="O51" s="6">
        <f t="shared" si="14"/>
        <v>29250</v>
      </c>
      <c r="P51" s="6">
        <f t="shared" si="15"/>
        <v>23400</v>
      </c>
      <c r="Q51" s="6">
        <f t="shared" si="16"/>
        <v>5850</v>
      </c>
      <c r="R51" s="8"/>
      <c r="S51" s="16">
        <f t="shared" si="21"/>
        <v>58500</v>
      </c>
      <c r="T51" s="8">
        <f>ROUND(IF(J51&gt;15000,(15000/$AA$3*I51)*12%,O51*12%)*1,0)</f>
        <v>1800</v>
      </c>
      <c r="U51" s="51">
        <v>0</v>
      </c>
      <c r="V51" s="44"/>
      <c r="W51" s="30"/>
      <c r="X51" s="6">
        <f t="shared" si="22"/>
        <v>1800</v>
      </c>
      <c r="Y51" s="16">
        <f t="shared" si="23"/>
        <v>56700</v>
      </c>
    </row>
    <row r="52" spans="1:25">
      <c r="A52" s="8">
        <v>46</v>
      </c>
      <c r="B52" s="24">
        <v>101704936804</v>
      </c>
      <c r="C52" s="32" t="s">
        <v>30</v>
      </c>
      <c r="D52" s="32"/>
      <c r="E52" s="86" t="s">
        <v>169</v>
      </c>
      <c r="F52" s="35" t="s">
        <v>170</v>
      </c>
      <c r="G52" s="26" t="s">
        <v>171</v>
      </c>
      <c r="H52" s="4">
        <v>415</v>
      </c>
      <c r="I52" s="12">
        <v>28.5</v>
      </c>
      <c r="J52" s="8">
        <v>20000</v>
      </c>
      <c r="K52" s="8">
        <v>16000</v>
      </c>
      <c r="L52" s="8">
        <v>4000</v>
      </c>
      <c r="M52" s="30">
        <f t="shared" si="19"/>
        <v>40000</v>
      </c>
      <c r="N52" s="8">
        <f t="shared" si="20"/>
        <v>40000</v>
      </c>
      <c r="O52" s="6">
        <f t="shared" si="14"/>
        <v>19000</v>
      </c>
      <c r="P52" s="6">
        <f t="shared" si="15"/>
        <v>15200</v>
      </c>
      <c r="Q52" s="6">
        <f t="shared" si="16"/>
        <v>3800</v>
      </c>
      <c r="R52" s="8"/>
      <c r="S52" s="16">
        <f t="shared" si="21"/>
        <v>38000</v>
      </c>
      <c r="T52" s="8">
        <f>ROUND(IF(J52&gt;15000,(15000/$AA$3*I52)*12%,O52*12%)*1,0)</f>
        <v>1710</v>
      </c>
      <c r="U52" s="51">
        <v>0</v>
      </c>
      <c r="V52" s="44"/>
      <c r="W52" s="30"/>
      <c r="X52" s="6">
        <f t="shared" si="22"/>
        <v>1710</v>
      </c>
      <c r="Y52" s="16">
        <f t="shared" si="23"/>
        <v>36290</v>
      </c>
    </row>
    <row r="53" spans="1:25">
      <c r="A53" s="8">
        <v>47</v>
      </c>
      <c r="B53" s="24">
        <v>101183187700</v>
      </c>
      <c r="C53" s="32">
        <v>6723302545</v>
      </c>
      <c r="D53" s="32"/>
      <c r="E53" s="86" t="s">
        <v>172</v>
      </c>
      <c r="F53" s="35" t="s">
        <v>173</v>
      </c>
      <c r="G53" s="26" t="s">
        <v>174</v>
      </c>
      <c r="H53" s="4">
        <v>409</v>
      </c>
      <c r="I53" s="12">
        <v>30</v>
      </c>
      <c r="J53" s="8">
        <v>13580</v>
      </c>
      <c r="K53" s="8">
        <v>9200</v>
      </c>
      <c r="L53" s="8">
        <v>220</v>
      </c>
      <c r="M53" s="30">
        <f t="shared" si="19"/>
        <v>23000</v>
      </c>
      <c r="N53" s="8">
        <f t="shared" si="20"/>
        <v>23000</v>
      </c>
      <c r="O53" s="6">
        <f t="shared" ref="O53:O81" si="24">ROUND(J53/$AA$3*I53,0)</f>
        <v>13580</v>
      </c>
      <c r="P53" s="6">
        <f t="shared" ref="P53:P81" si="25">ROUND(K53/$AA$3*I53,0)</f>
        <v>9200</v>
      </c>
      <c r="Q53" s="6">
        <f t="shared" ref="Q53:Q81" si="26">ROUND(L53/$AA$3*I53,0)</f>
        <v>220</v>
      </c>
      <c r="R53" s="8"/>
      <c r="S53" s="16">
        <f t="shared" si="21"/>
        <v>23000</v>
      </c>
      <c r="T53" s="8">
        <f>ROUND(IF(J53&gt;15000,(15000/$AA$3*I53)*12%,O53*12%)*1,0)</f>
        <v>1630</v>
      </c>
      <c r="U53" s="51">
        <v>0</v>
      </c>
      <c r="V53" s="44">
        <v>2000</v>
      </c>
      <c r="W53" s="30"/>
      <c r="X53" s="6">
        <f t="shared" si="22"/>
        <v>3630</v>
      </c>
      <c r="Y53" s="16">
        <f t="shared" si="23"/>
        <v>19370</v>
      </c>
    </row>
    <row r="54" spans="1:25">
      <c r="A54" s="8">
        <v>48</v>
      </c>
      <c r="B54" s="24">
        <v>101826408930</v>
      </c>
      <c r="C54" s="32" t="s">
        <v>30</v>
      </c>
      <c r="D54" s="32"/>
      <c r="E54" s="86" t="s">
        <v>175</v>
      </c>
      <c r="F54" s="35" t="s">
        <v>176</v>
      </c>
      <c r="G54" s="26" t="s">
        <v>177</v>
      </c>
      <c r="H54" s="4">
        <v>414</v>
      </c>
      <c r="I54" s="12">
        <v>30</v>
      </c>
      <c r="J54" s="8">
        <v>27000</v>
      </c>
      <c r="K54" s="8">
        <v>21600</v>
      </c>
      <c r="L54" s="8">
        <v>5400</v>
      </c>
      <c r="M54" s="30">
        <f t="shared" si="19"/>
        <v>54000</v>
      </c>
      <c r="N54" s="8">
        <f t="shared" si="20"/>
        <v>54000</v>
      </c>
      <c r="O54" s="6">
        <f t="shared" si="24"/>
        <v>27000</v>
      </c>
      <c r="P54" s="6">
        <f t="shared" si="25"/>
        <v>21600</v>
      </c>
      <c r="Q54" s="6">
        <f t="shared" si="26"/>
        <v>5400</v>
      </c>
      <c r="R54" s="8"/>
      <c r="S54" s="16">
        <f t="shared" si="21"/>
        <v>54000</v>
      </c>
      <c r="T54" s="8">
        <f>ROUND(IF(J54&gt;15000,(15000/$AA$3*I54)*12%,O54*12%)*1,0)</f>
        <v>1800</v>
      </c>
      <c r="U54" s="51">
        <v>0</v>
      </c>
      <c r="V54" s="44"/>
      <c r="W54" s="30"/>
      <c r="X54" s="6">
        <f t="shared" si="22"/>
        <v>1800</v>
      </c>
      <c r="Y54" s="16">
        <f t="shared" si="23"/>
        <v>52200</v>
      </c>
    </row>
    <row r="55" spans="1:25">
      <c r="A55" s="8">
        <v>49</v>
      </c>
      <c r="B55" s="24">
        <v>100777528899</v>
      </c>
      <c r="C55" s="24" t="s">
        <v>30</v>
      </c>
      <c r="D55" s="24"/>
      <c r="E55" s="86" t="s">
        <v>178</v>
      </c>
      <c r="F55" s="35" t="s">
        <v>179</v>
      </c>
      <c r="G55" s="26" t="s">
        <v>180</v>
      </c>
      <c r="H55" s="4">
        <v>350</v>
      </c>
      <c r="I55" s="12">
        <v>30</v>
      </c>
      <c r="J55" s="8">
        <v>27500</v>
      </c>
      <c r="K55" s="8">
        <v>22000</v>
      </c>
      <c r="L55" s="8">
        <v>5500</v>
      </c>
      <c r="M55" s="30">
        <f t="shared" si="19"/>
        <v>55000</v>
      </c>
      <c r="N55" s="8">
        <f t="shared" si="20"/>
        <v>55000</v>
      </c>
      <c r="O55" s="6">
        <f t="shared" si="24"/>
        <v>27500</v>
      </c>
      <c r="P55" s="6">
        <f t="shared" si="25"/>
        <v>22000</v>
      </c>
      <c r="Q55" s="6">
        <f t="shared" si="26"/>
        <v>5500</v>
      </c>
      <c r="R55" s="8"/>
      <c r="S55" s="16">
        <f t="shared" si="21"/>
        <v>55000</v>
      </c>
      <c r="T55" s="8">
        <f>ROUND(IF(J55&gt;15000,(15000/$AA$3*I55)*12%,O55*12%)*1,0)</f>
        <v>1800</v>
      </c>
      <c r="U55" s="51">
        <v>0</v>
      </c>
      <c r="V55" s="44"/>
      <c r="W55" s="30"/>
      <c r="X55" s="6">
        <f t="shared" si="22"/>
        <v>1800</v>
      </c>
      <c r="Y55" s="16">
        <f t="shared" si="23"/>
        <v>53200</v>
      </c>
    </row>
    <row r="56" spans="1:25">
      <c r="A56" s="8">
        <v>50</v>
      </c>
      <c r="B56" s="24">
        <v>101820592056</v>
      </c>
      <c r="C56" s="24" t="s">
        <v>30</v>
      </c>
      <c r="D56" s="24"/>
      <c r="E56" s="86" t="s">
        <v>181</v>
      </c>
      <c r="F56" s="35" t="s">
        <v>182</v>
      </c>
      <c r="G56" s="26" t="s">
        <v>183</v>
      </c>
      <c r="H56" s="4">
        <v>340</v>
      </c>
      <c r="I56" s="12">
        <v>28.5</v>
      </c>
      <c r="J56" s="52">
        <v>27500</v>
      </c>
      <c r="K56" s="52">
        <v>22000</v>
      </c>
      <c r="L56" s="52">
        <v>5500</v>
      </c>
      <c r="M56" s="30">
        <f t="shared" si="19"/>
        <v>55000</v>
      </c>
      <c r="N56" s="8">
        <f t="shared" si="20"/>
        <v>55000</v>
      </c>
      <c r="O56" s="6">
        <f t="shared" si="24"/>
        <v>26125</v>
      </c>
      <c r="P56" s="6">
        <f t="shared" si="25"/>
        <v>20900</v>
      </c>
      <c r="Q56" s="6">
        <f t="shared" si="26"/>
        <v>5225</v>
      </c>
      <c r="R56" s="8"/>
      <c r="S56" s="16">
        <f t="shared" si="21"/>
        <v>52250</v>
      </c>
      <c r="T56" s="8">
        <f>ROUND(IF(J56&gt;15000,(15000/$AA$3*I56)*12%,O56*12%)*1,0)</f>
        <v>1710</v>
      </c>
      <c r="U56" s="51">
        <v>0</v>
      </c>
      <c r="V56" s="44"/>
      <c r="W56" s="30"/>
      <c r="X56" s="6">
        <f t="shared" si="22"/>
        <v>1710</v>
      </c>
      <c r="Y56" s="16">
        <f t="shared" si="23"/>
        <v>50540</v>
      </c>
    </row>
    <row r="57" spans="1:25">
      <c r="A57" s="8">
        <v>51</v>
      </c>
      <c r="B57" s="24" t="s">
        <v>30</v>
      </c>
      <c r="C57" s="24" t="s">
        <v>30</v>
      </c>
      <c r="D57" s="24"/>
      <c r="E57" s="86" t="s">
        <v>184</v>
      </c>
      <c r="F57" s="35" t="s">
        <v>185</v>
      </c>
      <c r="G57" s="26" t="s">
        <v>186</v>
      </c>
      <c r="H57" s="4">
        <v>316</v>
      </c>
      <c r="I57" s="12">
        <v>30</v>
      </c>
      <c r="J57" s="8">
        <v>24750</v>
      </c>
      <c r="K57" s="8">
        <v>19800</v>
      </c>
      <c r="L57" s="8">
        <v>4950</v>
      </c>
      <c r="M57" s="30">
        <f t="shared" si="19"/>
        <v>49500</v>
      </c>
      <c r="N57" s="8">
        <f t="shared" si="20"/>
        <v>49500</v>
      </c>
      <c r="O57" s="6">
        <f t="shared" si="24"/>
        <v>24750</v>
      </c>
      <c r="P57" s="6">
        <f t="shared" si="25"/>
        <v>19800</v>
      </c>
      <c r="Q57" s="6">
        <f t="shared" si="26"/>
        <v>4950</v>
      </c>
      <c r="R57" s="8"/>
      <c r="S57" s="16">
        <f t="shared" si="21"/>
        <v>49500</v>
      </c>
      <c r="T57" s="51">
        <v>0</v>
      </c>
      <c r="U57" s="51">
        <v>0</v>
      </c>
      <c r="V57" s="44"/>
      <c r="W57" s="30"/>
      <c r="X57" s="6">
        <f t="shared" si="22"/>
        <v>0</v>
      </c>
      <c r="Y57" s="16">
        <f t="shared" si="23"/>
        <v>49500</v>
      </c>
    </row>
    <row r="58" spans="1:25">
      <c r="A58" s="8">
        <v>52</v>
      </c>
      <c r="B58" s="24">
        <v>101659278589</v>
      </c>
      <c r="C58" s="24" t="s">
        <v>30</v>
      </c>
      <c r="D58" s="24" t="s">
        <v>43</v>
      </c>
      <c r="E58" s="86" t="s">
        <v>187</v>
      </c>
      <c r="F58" s="35" t="s">
        <v>188</v>
      </c>
      <c r="G58" s="26" t="s">
        <v>189</v>
      </c>
      <c r="H58" s="4">
        <v>314</v>
      </c>
      <c r="I58" s="12">
        <v>27</v>
      </c>
      <c r="J58" s="8">
        <v>25000</v>
      </c>
      <c r="K58" s="8">
        <v>20000</v>
      </c>
      <c r="L58" s="8">
        <v>5000</v>
      </c>
      <c r="M58" s="30">
        <f t="shared" si="19"/>
        <v>50000</v>
      </c>
      <c r="N58" s="8">
        <f t="shared" si="20"/>
        <v>50000</v>
      </c>
      <c r="O58" s="6">
        <f t="shared" si="24"/>
        <v>22500</v>
      </c>
      <c r="P58" s="6">
        <f t="shared" si="25"/>
        <v>18000</v>
      </c>
      <c r="Q58" s="6">
        <f t="shared" si="26"/>
        <v>4500</v>
      </c>
      <c r="R58" s="8"/>
      <c r="S58" s="16">
        <f t="shared" si="21"/>
        <v>45000</v>
      </c>
      <c r="T58" s="8">
        <f>ROUND(IF(J58&gt;15000,(15000/$AA$3*I58)*12%,O58*12%)*1,0)</f>
        <v>1620</v>
      </c>
      <c r="U58" s="51">
        <v>0</v>
      </c>
      <c r="V58" s="44"/>
      <c r="W58" s="30"/>
      <c r="X58" s="6">
        <f t="shared" si="22"/>
        <v>1620</v>
      </c>
      <c r="Y58" s="16">
        <f t="shared" si="23"/>
        <v>43380</v>
      </c>
    </row>
    <row r="59" spans="1:25">
      <c r="A59" s="8">
        <v>53</v>
      </c>
      <c r="B59" s="24">
        <v>101450097788</v>
      </c>
      <c r="C59" s="24" t="s">
        <v>30</v>
      </c>
      <c r="D59" s="24"/>
      <c r="E59" s="86" t="s">
        <v>190</v>
      </c>
      <c r="F59" s="35" t="s">
        <v>191</v>
      </c>
      <c r="G59" s="26" t="s">
        <v>192</v>
      </c>
      <c r="H59" s="4">
        <v>305</v>
      </c>
      <c r="I59" s="12">
        <v>30</v>
      </c>
      <c r="J59" s="8">
        <v>32500</v>
      </c>
      <c r="K59" s="8">
        <v>26000</v>
      </c>
      <c r="L59" s="8">
        <v>6500</v>
      </c>
      <c r="M59" s="30">
        <f t="shared" si="19"/>
        <v>65000</v>
      </c>
      <c r="N59" s="8">
        <f t="shared" si="20"/>
        <v>65000</v>
      </c>
      <c r="O59" s="6">
        <f t="shared" si="24"/>
        <v>32500</v>
      </c>
      <c r="P59" s="6">
        <f t="shared" si="25"/>
        <v>26000</v>
      </c>
      <c r="Q59" s="6">
        <f t="shared" si="26"/>
        <v>6500</v>
      </c>
      <c r="R59" s="8"/>
      <c r="S59" s="16">
        <f t="shared" si="21"/>
        <v>65000</v>
      </c>
      <c r="T59" s="8">
        <f>ROUND(IF(J59&gt;15000,(15000/$AA$3*I59)*12%,O59*12%)*1,0)</f>
        <v>1800</v>
      </c>
      <c r="U59" s="51">
        <v>0</v>
      </c>
      <c r="V59" s="44"/>
      <c r="W59" s="30"/>
      <c r="X59" s="6">
        <f t="shared" si="22"/>
        <v>1800</v>
      </c>
      <c r="Y59" s="16">
        <f t="shared" si="23"/>
        <v>63200</v>
      </c>
    </row>
    <row r="60" spans="1:25">
      <c r="A60" s="8">
        <v>54</v>
      </c>
      <c r="B60" s="24">
        <v>102128869934</v>
      </c>
      <c r="C60" s="24" t="s">
        <v>30</v>
      </c>
      <c r="D60" s="24"/>
      <c r="E60" s="86" t="s">
        <v>193</v>
      </c>
      <c r="F60" s="35" t="s">
        <v>194</v>
      </c>
      <c r="G60" s="26" t="s">
        <v>195</v>
      </c>
      <c r="H60" s="4">
        <v>261</v>
      </c>
      <c r="I60" s="12">
        <v>30</v>
      </c>
      <c r="J60" s="8">
        <v>25000</v>
      </c>
      <c r="K60" s="8">
        <v>20000</v>
      </c>
      <c r="L60" s="8">
        <v>5000</v>
      </c>
      <c r="M60" s="30">
        <f t="shared" si="19"/>
        <v>50000</v>
      </c>
      <c r="N60" s="8">
        <f t="shared" si="20"/>
        <v>50000</v>
      </c>
      <c r="O60" s="6">
        <f t="shared" si="24"/>
        <v>25000</v>
      </c>
      <c r="P60" s="6">
        <f t="shared" si="25"/>
        <v>20000</v>
      </c>
      <c r="Q60" s="6">
        <f t="shared" si="26"/>
        <v>5000</v>
      </c>
      <c r="R60" s="8"/>
      <c r="S60" s="16">
        <f t="shared" si="21"/>
        <v>50000</v>
      </c>
      <c r="T60" s="8">
        <f>ROUND(IF(J60&gt;15000,(15000/$AA$3*I60)*12%,O60*12%)*1,0)</f>
        <v>1800</v>
      </c>
      <c r="U60" s="51">
        <v>0</v>
      </c>
      <c r="V60" s="44"/>
      <c r="W60" s="30"/>
      <c r="X60" s="6">
        <f t="shared" si="22"/>
        <v>1800</v>
      </c>
      <c r="Y60" s="16">
        <f t="shared" si="23"/>
        <v>48200</v>
      </c>
    </row>
    <row r="61" spans="1:25">
      <c r="A61" s="8">
        <v>55</v>
      </c>
      <c r="B61" s="24">
        <v>101989227485</v>
      </c>
      <c r="C61" s="24" t="s">
        <v>30</v>
      </c>
      <c r="D61" s="24"/>
      <c r="E61" s="86" t="s">
        <v>196</v>
      </c>
      <c r="F61" s="35" t="s">
        <v>197</v>
      </c>
      <c r="G61" s="26" t="s">
        <v>198</v>
      </c>
      <c r="H61" s="4">
        <v>1619</v>
      </c>
      <c r="I61" s="12">
        <v>30</v>
      </c>
      <c r="J61" s="8">
        <v>22500</v>
      </c>
      <c r="K61" s="8">
        <v>18000</v>
      </c>
      <c r="L61" s="8">
        <v>4500</v>
      </c>
      <c r="M61" s="30">
        <f t="shared" si="19"/>
        <v>45000</v>
      </c>
      <c r="N61" s="8">
        <f t="shared" si="20"/>
        <v>45000</v>
      </c>
      <c r="O61" s="6">
        <f t="shared" si="24"/>
        <v>22500</v>
      </c>
      <c r="P61" s="6">
        <f t="shared" si="25"/>
        <v>18000</v>
      </c>
      <c r="Q61" s="6">
        <f t="shared" si="26"/>
        <v>4500</v>
      </c>
      <c r="R61" s="8"/>
      <c r="S61" s="16">
        <f t="shared" si="21"/>
        <v>45000</v>
      </c>
      <c r="T61" s="8">
        <f>ROUND(IF(J61&gt;15000,(15000/$AA$3*I61)*12%,O61*12%)*1,0)</f>
        <v>1800</v>
      </c>
      <c r="U61" s="51">
        <v>0</v>
      </c>
      <c r="V61" s="44">
        <v>5000</v>
      </c>
      <c r="W61" s="30"/>
      <c r="X61" s="6">
        <f t="shared" si="22"/>
        <v>6800</v>
      </c>
      <c r="Y61" s="16">
        <f t="shared" si="23"/>
        <v>38200</v>
      </c>
    </row>
    <row r="62" spans="1:25">
      <c r="A62" s="8">
        <v>56</v>
      </c>
      <c r="B62" s="38">
        <v>102137756777</v>
      </c>
      <c r="C62" s="31">
        <v>6724049158</v>
      </c>
      <c r="D62" s="31" t="s">
        <v>43</v>
      </c>
      <c r="E62" s="89" t="s">
        <v>199</v>
      </c>
      <c r="F62" s="34" t="s">
        <v>200</v>
      </c>
      <c r="G62" s="18" t="s">
        <v>201</v>
      </c>
      <c r="H62" s="4">
        <v>1000</v>
      </c>
      <c r="I62" s="12">
        <v>30</v>
      </c>
      <c r="J62" s="8">
        <v>16000</v>
      </c>
      <c r="K62" s="8">
        <v>12800</v>
      </c>
      <c r="L62" s="8">
        <v>3200</v>
      </c>
      <c r="M62" s="30">
        <f t="shared" si="19"/>
        <v>32000</v>
      </c>
      <c r="N62" s="8">
        <f t="shared" si="20"/>
        <v>32000</v>
      </c>
      <c r="O62" s="6">
        <f t="shared" si="24"/>
        <v>16000</v>
      </c>
      <c r="P62" s="6">
        <f t="shared" si="25"/>
        <v>12800</v>
      </c>
      <c r="Q62" s="6">
        <f t="shared" si="26"/>
        <v>3200</v>
      </c>
      <c r="R62" s="8"/>
      <c r="S62" s="16">
        <f t="shared" si="21"/>
        <v>32000</v>
      </c>
      <c r="T62" s="8">
        <f>ROUND(IF(J62&gt;15000,(15000/$AA$3*I62)*12%,O62*12%)*1,0)</f>
        <v>1800</v>
      </c>
      <c r="U62" s="51">
        <v>0</v>
      </c>
      <c r="V62" s="8"/>
      <c r="W62" s="30"/>
      <c r="X62" s="6">
        <f t="shared" si="22"/>
        <v>1800</v>
      </c>
      <c r="Y62" s="16">
        <f t="shared" si="23"/>
        <v>30200</v>
      </c>
    </row>
    <row r="63" spans="1:25">
      <c r="A63" s="8">
        <v>57</v>
      </c>
      <c r="B63" s="38">
        <v>101792837002</v>
      </c>
      <c r="C63" s="31">
        <v>6722623162</v>
      </c>
      <c r="D63" s="31" t="s">
        <v>43</v>
      </c>
      <c r="E63" s="89" t="s">
        <v>202</v>
      </c>
      <c r="F63" s="34" t="s">
        <v>203</v>
      </c>
      <c r="G63" s="18" t="s">
        <v>204</v>
      </c>
      <c r="H63" s="4">
        <v>920</v>
      </c>
      <c r="I63" s="12">
        <v>30</v>
      </c>
      <c r="J63" s="8">
        <v>15000</v>
      </c>
      <c r="K63" s="8">
        <v>12000</v>
      </c>
      <c r="L63" s="8">
        <v>3000</v>
      </c>
      <c r="M63" s="30">
        <f t="shared" si="19"/>
        <v>30000</v>
      </c>
      <c r="N63" s="8">
        <f t="shared" si="20"/>
        <v>30000</v>
      </c>
      <c r="O63" s="6">
        <f t="shared" si="24"/>
        <v>15000</v>
      </c>
      <c r="P63" s="6">
        <f t="shared" si="25"/>
        <v>12000</v>
      </c>
      <c r="Q63" s="6">
        <f t="shared" si="26"/>
        <v>3000</v>
      </c>
      <c r="R63" s="8"/>
      <c r="S63" s="16">
        <f t="shared" si="21"/>
        <v>30000</v>
      </c>
      <c r="T63" s="8">
        <f>ROUND(IF(J63&gt;15000,(15000/$AA$3*I63)*12%,O63*12%)*1,0)</f>
        <v>1800</v>
      </c>
      <c r="U63" s="51">
        <v>0</v>
      </c>
      <c r="V63" s="8"/>
      <c r="W63" s="30"/>
      <c r="X63" s="6">
        <f t="shared" si="22"/>
        <v>1800</v>
      </c>
      <c r="Y63" s="16">
        <f t="shared" si="23"/>
        <v>28200</v>
      </c>
    </row>
    <row r="64" spans="1:25">
      <c r="A64" s="8">
        <v>58</v>
      </c>
      <c r="B64" s="38">
        <v>102137756852</v>
      </c>
      <c r="C64" s="31">
        <v>6724046669</v>
      </c>
      <c r="D64" s="31" t="s">
        <v>43</v>
      </c>
      <c r="E64" s="89" t="s">
        <v>205</v>
      </c>
      <c r="F64" s="34" t="s">
        <v>206</v>
      </c>
      <c r="G64" s="18" t="s">
        <v>207</v>
      </c>
      <c r="H64" s="4">
        <v>908</v>
      </c>
      <c r="I64" s="12">
        <v>30</v>
      </c>
      <c r="J64" s="8">
        <v>14000</v>
      </c>
      <c r="K64" s="8">
        <v>11200</v>
      </c>
      <c r="L64" s="8">
        <v>2800</v>
      </c>
      <c r="M64" s="30">
        <f t="shared" si="19"/>
        <v>28000</v>
      </c>
      <c r="N64" s="8">
        <f t="shared" si="20"/>
        <v>28000</v>
      </c>
      <c r="O64" s="6">
        <f t="shared" si="24"/>
        <v>14000</v>
      </c>
      <c r="P64" s="6">
        <f t="shared" si="25"/>
        <v>11200</v>
      </c>
      <c r="Q64" s="6">
        <f t="shared" si="26"/>
        <v>2800</v>
      </c>
      <c r="R64" s="8"/>
      <c r="S64" s="16">
        <f t="shared" si="21"/>
        <v>28000</v>
      </c>
      <c r="T64" s="8">
        <f>ROUND(IF(J64&gt;15000,(15000/$AA$3*I64)*12%,O64*12%)*1,0)</f>
        <v>1680</v>
      </c>
      <c r="U64" s="51">
        <v>0</v>
      </c>
      <c r="V64" s="8"/>
      <c r="W64" s="30"/>
      <c r="X64" s="6">
        <f t="shared" si="22"/>
        <v>1680</v>
      </c>
      <c r="Y64" s="16">
        <f t="shared" si="23"/>
        <v>26320</v>
      </c>
    </row>
    <row r="65" spans="1:25">
      <c r="A65" s="8">
        <v>59</v>
      </c>
      <c r="B65" s="38">
        <v>101912089535</v>
      </c>
      <c r="C65" s="31" t="s">
        <v>30</v>
      </c>
      <c r="D65" s="31"/>
      <c r="E65" s="89" t="s">
        <v>208</v>
      </c>
      <c r="F65" s="34" t="s">
        <v>209</v>
      </c>
      <c r="G65" s="18" t="s">
        <v>210</v>
      </c>
      <c r="H65" s="4">
        <v>1015</v>
      </c>
      <c r="I65" s="12">
        <v>30</v>
      </c>
      <c r="J65" s="8">
        <v>17000</v>
      </c>
      <c r="K65" s="8">
        <v>13600</v>
      </c>
      <c r="L65" s="8">
        <v>3400</v>
      </c>
      <c r="M65" s="30">
        <f t="shared" si="19"/>
        <v>34000</v>
      </c>
      <c r="N65" s="8">
        <f t="shared" si="20"/>
        <v>34000</v>
      </c>
      <c r="O65" s="6">
        <f t="shared" si="24"/>
        <v>17000</v>
      </c>
      <c r="P65" s="6">
        <f t="shared" si="25"/>
        <v>13600</v>
      </c>
      <c r="Q65" s="6">
        <f t="shared" si="26"/>
        <v>3400</v>
      </c>
      <c r="R65" s="8"/>
      <c r="S65" s="16">
        <f t="shared" si="21"/>
        <v>34000</v>
      </c>
      <c r="T65" s="8">
        <f t="shared" ref="T65:T95" si="27">ROUND(IF(J65&gt;15000,(15000/$AA$3*I65)*12%,O65*12%)*1,0)</f>
        <v>1800</v>
      </c>
      <c r="U65" s="53">
        <v>0</v>
      </c>
      <c r="V65" s="54"/>
      <c r="W65" s="55"/>
      <c r="X65" s="6">
        <f t="shared" si="22"/>
        <v>1800</v>
      </c>
      <c r="Y65" s="16">
        <f t="shared" si="23"/>
        <v>32200</v>
      </c>
    </row>
    <row r="66" spans="1:25">
      <c r="A66" s="8">
        <v>60</v>
      </c>
      <c r="B66" s="38">
        <v>102157092967</v>
      </c>
      <c r="C66" s="31">
        <v>6113643400</v>
      </c>
      <c r="D66" s="31" t="s">
        <v>43</v>
      </c>
      <c r="E66" s="89" t="s">
        <v>211</v>
      </c>
      <c r="F66" s="34" t="s">
        <v>212</v>
      </c>
      <c r="G66" s="18" t="s">
        <v>213</v>
      </c>
      <c r="H66" s="4">
        <v>910</v>
      </c>
      <c r="I66" s="12">
        <v>28</v>
      </c>
      <c r="J66" s="8">
        <v>13580</v>
      </c>
      <c r="K66" s="8">
        <v>10400</v>
      </c>
      <c r="L66" s="8">
        <v>2020</v>
      </c>
      <c r="M66" s="30">
        <f t="shared" ref="M66:M81" si="28">J66+K66+L66</f>
        <v>26000</v>
      </c>
      <c r="N66" s="8">
        <f t="shared" ref="N66:N81" si="29">M66</f>
        <v>26000</v>
      </c>
      <c r="O66" s="6">
        <f t="shared" si="24"/>
        <v>12675</v>
      </c>
      <c r="P66" s="6">
        <f t="shared" si="25"/>
        <v>9707</v>
      </c>
      <c r="Q66" s="6">
        <f t="shared" si="26"/>
        <v>1885</v>
      </c>
      <c r="R66" s="8"/>
      <c r="S66" s="16">
        <f t="shared" si="21"/>
        <v>24267</v>
      </c>
      <c r="T66" s="8">
        <f t="shared" si="27"/>
        <v>1521</v>
      </c>
      <c r="U66" s="51">
        <v>0</v>
      </c>
      <c r="V66" s="54"/>
      <c r="W66" s="55"/>
      <c r="X66" s="6">
        <f t="shared" si="22"/>
        <v>1521</v>
      </c>
      <c r="Y66" s="16">
        <f t="shared" si="23"/>
        <v>22746</v>
      </c>
    </row>
    <row r="67" spans="1:25">
      <c r="A67" s="8">
        <v>61</v>
      </c>
      <c r="B67" s="39">
        <v>102150832185</v>
      </c>
      <c r="C67" s="31">
        <v>6724336085</v>
      </c>
      <c r="D67" s="31"/>
      <c r="E67" s="89" t="s">
        <v>214</v>
      </c>
      <c r="F67" s="34" t="s">
        <v>215</v>
      </c>
      <c r="G67" s="18" t="s">
        <v>216</v>
      </c>
      <c r="H67" s="4">
        <v>101</v>
      </c>
      <c r="I67" s="12">
        <v>30</v>
      </c>
      <c r="J67" s="8">
        <v>13580</v>
      </c>
      <c r="K67" s="8">
        <v>8920</v>
      </c>
      <c r="L67" s="8">
        <v>0</v>
      </c>
      <c r="M67" s="30">
        <f t="shared" si="28"/>
        <v>22500</v>
      </c>
      <c r="N67" s="8">
        <f t="shared" si="29"/>
        <v>22500</v>
      </c>
      <c r="O67" s="6">
        <f t="shared" si="24"/>
        <v>13580</v>
      </c>
      <c r="P67" s="6">
        <f t="shared" si="25"/>
        <v>8920</v>
      </c>
      <c r="Q67" s="6">
        <f t="shared" si="26"/>
        <v>0</v>
      </c>
      <c r="R67" s="8"/>
      <c r="S67" s="16">
        <f t="shared" si="21"/>
        <v>22500</v>
      </c>
      <c r="T67" s="8">
        <f t="shared" si="27"/>
        <v>1630</v>
      </c>
      <c r="U67" s="51">
        <v>0</v>
      </c>
      <c r="V67" s="54"/>
      <c r="W67" s="55"/>
      <c r="X67" s="6">
        <f t="shared" si="22"/>
        <v>1630</v>
      </c>
      <c r="Y67" s="16">
        <f t="shared" si="23"/>
        <v>20870</v>
      </c>
    </row>
    <row r="68" spans="1:25">
      <c r="A68" s="8">
        <v>62</v>
      </c>
      <c r="B68" s="39">
        <v>102169013910</v>
      </c>
      <c r="C68" s="31">
        <v>6724336108</v>
      </c>
      <c r="D68" s="31"/>
      <c r="E68" s="89" t="s">
        <v>217</v>
      </c>
      <c r="F68" s="34" t="s">
        <v>218</v>
      </c>
      <c r="G68" s="18" t="s">
        <v>219</v>
      </c>
      <c r="H68" s="4">
        <v>225</v>
      </c>
      <c r="I68" s="12">
        <v>30</v>
      </c>
      <c r="J68" s="8">
        <v>13580</v>
      </c>
      <c r="K68" s="8">
        <v>8420</v>
      </c>
      <c r="L68" s="8">
        <v>0</v>
      </c>
      <c r="M68" s="30">
        <f t="shared" si="28"/>
        <v>22000</v>
      </c>
      <c r="N68" s="8">
        <f t="shared" si="29"/>
        <v>22000</v>
      </c>
      <c r="O68" s="6">
        <f t="shared" si="24"/>
        <v>13580</v>
      </c>
      <c r="P68" s="6">
        <f t="shared" si="25"/>
        <v>8420</v>
      </c>
      <c r="Q68" s="6">
        <f t="shared" si="26"/>
        <v>0</v>
      </c>
      <c r="R68" s="8"/>
      <c r="S68" s="16">
        <f t="shared" si="21"/>
        <v>22000</v>
      </c>
      <c r="T68" s="8">
        <f t="shared" si="27"/>
        <v>1630</v>
      </c>
      <c r="U68" s="51">
        <v>0</v>
      </c>
      <c r="V68" s="54"/>
      <c r="W68" s="55"/>
      <c r="X68" s="6">
        <f t="shared" si="22"/>
        <v>1630</v>
      </c>
      <c r="Y68" s="16">
        <f t="shared" si="23"/>
        <v>20370</v>
      </c>
    </row>
    <row r="69" spans="1:25">
      <c r="A69" s="8">
        <v>63</v>
      </c>
      <c r="B69" s="39">
        <v>101960745354</v>
      </c>
      <c r="C69" s="31">
        <v>6724336143</v>
      </c>
      <c r="D69" s="31"/>
      <c r="E69" s="89" t="s">
        <v>220</v>
      </c>
      <c r="F69" s="34" t="s">
        <v>221</v>
      </c>
      <c r="G69" s="18" t="s">
        <v>222</v>
      </c>
      <c r="H69" s="4">
        <v>966</v>
      </c>
      <c r="I69" s="12">
        <v>30</v>
      </c>
      <c r="J69" s="8">
        <v>13580</v>
      </c>
      <c r="K69" s="8">
        <v>10400</v>
      </c>
      <c r="L69" s="8">
        <v>2020</v>
      </c>
      <c r="M69" s="30">
        <f t="shared" si="28"/>
        <v>26000</v>
      </c>
      <c r="N69" s="8">
        <f t="shared" si="29"/>
        <v>26000</v>
      </c>
      <c r="O69" s="6">
        <f t="shared" si="24"/>
        <v>13580</v>
      </c>
      <c r="P69" s="6">
        <f t="shared" si="25"/>
        <v>10400</v>
      </c>
      <c r="Q69" s="6">
        <f t="shared" si="26"/>
        <v>2020</v>
      </c>
      <c r="R69" s="8"/>
      <c r="S69" s="16">
        <f t="shared" si="21"/>
        <v>26000</v>
      </c>
      <c r="T69" s="8">
        <f t="shared" si="27"/>
        <v>1630</v>
      </c>
      <c r="U69" s="51">
        <v>0</v>
      </c>
      <c r="V69" s="54"/>
      <c r="W69" s="55"/>
      <c r="X69" s="6">
        <f t="shared" si="22"/>
        <v>1630</v>
      </c>
      <c r="Y69" s="16">
        <f t="shared" si="23"/>
        <v>24370</v>
      </c>
    </row>
    <row r="70" spans="1:25">
      <c r="A70" s="8">
        <v>64</v>
      </c>
      <c r="B70" s="39">
        <v>101968638729</v>
      </c>
      <c r="C70" s="31" t="s">
        <v>30</v>
      </c>
      <c r="D70" s="31"/>
      <c r="E70" s="89" t="s">
        <v>223</v>
      </c>
      <c r="F70" s="34" t="s">
        <v>224</v>
      </c>
      <c r="G70" s="18" t="s">
        <v>225</v>
      </c>
      <c r="H70" s="4">
        <v>223</v>
      </c>
      <c r="I70" s="12">
        <v>30</v>
      </c>
      <c r="J70" s="8">
        <v>16500</v>
      </c>
      <c r="K70" s="8">
        <v>13200</v>
      </c>
      <c r="L70" s="8">
        <v>3300</v>
      </c>
      <c r="M70" s="30">
        <f t="shared" si="28"/>
        <v>33000</v>
      </c>
      <c r="N70" s="8">
        <f t="shared" si="29"/>
        <v>33000</v>
      </c>
      <c r="O70" s="6">
        <f t="shared" si="24"/>
        <v>16500</v>
      </c>
      <c r="P70" s="6">
        <f t="shared" si="25"/>
        <v>13200</v>
      </c>
      <c r="Q70" s="6">
        <f t="shared" si="26"/>
        <v>3300</v>
      </c>
      <c r="R70" s="8"/>
      <c r="S70" s="16">
        <f t="shared" si="21"/>
        <v>33000</v>
      </c>
      <c r="T70" s="8">
        <f t="shared" si="27"/>
        <v>1800</v>
      </c>
      <c r="U70" s="53">
        <v>0</v>
      </c>
      <c r="V70" s="54"/>
      <c r="W70" s="55"/>
      <c r="X70" s="6">
        <f t="shared" si="22"/>
        <v>1800</v>
      </c>
      <c r="Y70" s="16">
        <f t="shared" si="23"/>
        <v>31200</v>
      </c>
    </row>
    <row r="71" spans="1:25">
      <c r="A71" s="8">
        <v>65</v>
      </c>
      <c r="B71" s="39">
        <v>102176635327</v>
      </c>
      <c r="C71" s="31">
        <v>6724384604</v>
      </c>
      <c r="D71" s="31" t="s">
        <v>43</v>
      </c>
      <c r="E71" s="89" t="s">
        <v>226</v>
      </c>
      <c r="F71" s="34" t="s">
        <v>227</v>
      </c>
      <c r="G71" s="18" t="s">
        <v>228</v>
      </c>
      <c r="H71" s="4">
        <v>906</v>
      </c>
      <c r="I71" s="12">
        <v>27</v>
      </c>
      <c r="J71" s="8">
        <v>13580</v>
      </c>
      <c r="K71" s="8">
        <v>10000</v>
      </c>
      <c r="L71" s="8">
        <v>1420</v>
      </c>
      <c r="M71" s="30">
        <f t="shared" si="28"/>
        <v>25000</v>
      </c>
      <c r="N71" s="8">
        <f t="shared" si="29"/>
        <v>25000</v>
      </c>
      <c r="O71" s="6">
        <f t="shared" si="24"/>
        <v>12222</v>
      </c>
      <c r="P71" s="6">
        <f t="shared" si="25"/>
        <v>9000</v>
      </c>
      <c r="Q71" s="6">
        <f t="shared" si="26"/>
        <v>1278</v>
      </c>
      <c r="R71" s="8"/>
      <c r="S71" s="16">
        <f t="shared" si="21"/>
        <v>22500</v>
      </c>
      <c r="T71" s="8">
        <f t="shared" si="27"/>
        <v>1467</v>
      </c>
      <c r="U71" s="51">
        <v>0</v>
      </c>
      <c r="V71" s="54"/>
      <c r="W71" s="55"/>
      <c r="X71" s="6">
        <f t="shared" si="22"/>
        <v>1467</v>
      </c>
      <c r="Y71" s="16">
        <f t="shared" si="23"/>
        <v>21033</v>
      </c>
    </row>
    <row r="72" spans="1:25">
      <c r="A72" s="8">
        <v>66</v>
      </c>
      <c r="B72" s="39">
        <v>102128028623</v>
      </c>
      <c r="C72" s="31">
        <v>2113354595</v>
      </c>
      <c r="D72" s="31" t="s">
        <v>43</v>
      </c>
      <c r="E72" s="89" t="s">
        <v>229</v>
      </c>
      <c r="F72" s="34" t="s">
        <v>230</v>
      </c>
      <c r="G72" s="18" t="s">
        <v>231</v>
      </c>
      <c r="H72" s="4">
        <v>909</v>
      </c>
      <c r="I72" s="12">
        <v>30</v>
      </c>
      <c r="J72" s="8">
        <v>13580</v>
      </c>
      <c r="K72" s="8">
        <v>9200</v>
      </c>
      <c r="L72" s="8">
        <v>220</v>
      </c>
      <c r="M72" s="30">
        <f t="shared" si="28"/>
        <v>23000</v>
      </c>
      <c r="N72" s="8">
        <f t="shared" si="29"/>
        <v>23000</v>
      </c>
      <c r="O72" s="6">
        <f t="shared" si="24"/>
        <v>13580</v>
      </c>
      <c r="P72" s="6">
        <f t="shared" si="25"/>
        <v>9200</v>
      </c>
      <c r="Q72" s="6">
        <f t="shared" si="26"/>
        <v>220</v>
      </c>
      <c r="R72" s="8"/>
      <c r="S72" s="16">
        <f t="shared" si="21"/>
        <v>23000</v>
      </c>
      <c r="T72" s="8">
        <f t="shared" si="27"/>
        <v>1630</v>
      </c>
      <c r="U72" s="51">
        <v>0</v>
      </c>
      <c r="V72" s="54"/>
      <c r="W72" s="55"/>
      <c r="X72" s="6">
        <f t="shared" si="22"/>
        <v>1630</v>
      </c>
      <c r="Y72" s="16">
        <f t="shared" si="23"/>
        <v>21370</v>
      </c>
    </row>
    <row r="73" spans="1:25">
      <c r="A73" s="8">
        <v>67</v>
      </c>
      <c r="B73" s="39">
        <v>102176635304</v>
      </c>
      <c r="C73" s="31">
        <v>6724384608</v>
      </c>
      <c r="D73" s="31" t="s">
        <v>43</v>
      </c>
      <c r="E73" s="89" t="s">
        <v>232</v>
      </c>
      <c r="F73" s="34" t="s">
        <v>233</v>
      </c>
      <c r="G73" s="18" t="s">
        <v>234</v>
      </c>
      <c r="H73" s="4">
        <v>983</v>
      </c>
      <c r="I73" s="12">
        <v>30</v>
      </c>
      <c r="J73" s="8">
        <v>13580</v>
      </c>
      <c r="K73" s="8">
        <v>9200</v>
      </c>
      <c r="L73" s="8">
        <v>220</v>
      </c>
      <c r="M73" s="30">
        <f t="shared" si="28"/>
        <v>23000</v>
      </c>
      <c r="N73" s="8">
        <f t="shared" si="29"/>
        <v>23000</v>
      </c>
      <c r="O73" s="6">
        <f t="shared" si="24"/>
        <v>13580</v>
      </c>
      <c r="P73" s="6">
        <f t="shared" si="25"/>
        <v>9200</v>
      </c>
      <c r="Q73" s="6">
        <f t="shared" si="26"/>
        <v>220</v>
      </c>
      <c r="R73" s="8"/>
      <c r="S73" s="16">
        <f t="shared" si="21"/>
        <v>23000</v>
      </c>
      <c r="T73" s="8">
        <f t="shared" si="27"/>
        <v>1630</v>
      </c>
      <c r="U73" s="51">
        <v>0</v>
      </c>
      <c r="V73" s="54"/>
      <c r="W73" s="55"/>
      <c r="X73" s="6">
        <f t="shared" si="22"/>
        <v>1630</v>
      </c>
      <c r="Y73" s="16">
        <f t="shared" si="23"/>
        <v>21370</v>
      </c>
    </row>
    <row r="74" spans="1:25" s="80" customFormat="1">
      <c r="A74" s="8">
        <v>68</v>
      </c>
      <c r="B74" s="70">
        <v>102187713987</v>
      </c>
      <c r="C74" s="71" t="s">
        <v>30</v>
      </c>
      <c r="D74" s="71"/>
      <c r="E74" s="85" t="s">
        <v>235</v>
      </c>
      <c r="F74" s="72" t="s">
        <v>236</v>
      </c>
      <c r="G74" s="73" t="s">
        <v>237</v>
      </c>
      <c r="H74" s="74">
        <v>970</v>
      </c>
      <c r="I74" s="75">
        <v>11.5</v>
      </c>
      <c r="J74" s="44">
        <v>16000</v>
      </c>
      <c r="K74" s="44">
        <v>12800</v>
      </c>
      <c r="L74" s="44">
        <v>3200</v>
      </c>
      <c r="M74" s="45">
        <f t="shared" si="28"/>
        <v>32000</v>
      </c>
      <c r="N74" s="44">
        <f t="shared" si="29"/>
        <v>32000</v>
      </c>
      <c r="O74" s="46">
        <f t="shared" si="24"/>
        <v>6133</v>
      </c>
      <c r="P74" s="46">
        <f t="shared" si="25"/>
        <v>4907</v>
      </c>
      <c r="Q74" s="46">
        <f t="shared" si="26"/>
        <v>1227</v>
      </c>
      <c r="R74" s="44"/>
      <c r="S74" s="76">
        <f t="shared" si="21"/>
        <v>12267</v>
      </c>
      <c r="T74" s="44">
        <f t="shared" si="27"/>
        <v>690</v>
      </c>
      <c r="U74" s="77">
        <v>0</v>
      </c>
      <c r="V74" s="78"/>
      <c r="W74" s="79"/>
      <c r="X74" s="46">
        <f t="shared" si="22"/>
        <v>690</v>
      </c>
      <c r="Y74" s="76">
        <f t="shared" si="23"/>
        <v>11577</v>
      </c>
    </row>
    <row r="75" spans="1:25">
      <c r="A75" s="8">
        <v>69</v>
      </c>
      <c r="B75" s="38">
        <v>102116245907</v>
      </c>
      <c r="C75" s="31" t="s">
        <v>30</v>
      </c>
      <c r="D75" s="31"/>
      <c r="E75" s="89" t="s">
        <v>238</v>
      </c>
      <c r="F75" s="34" t="s">
        <v>239</v>
      </c>
      <c r="G75" s="18" t="s">
        <v>240</v>
      </c>
      <c r="H75" s="4">
        <v>793</v>
      </c>
      <c r="I75" s="12">
        <v>30</v>
      </c>
      <c r="J75" s="8">
        <v>18400</v>
      </c>
      <c r="K75" s="8">
        <v>14720</v>
      </c>
      <c r="L75" s="8">
        <v>3680</v>
      </c>
      <c r="M75" s="30">
        <f t="shared" si="28"/>
        <v>36800</v>
      </c>
      <c r="N75" s="8">
        <f t="shared" si="29"/>
        <v>36800</v>
      </c>
      <c r="O75" s="6">
        <f t="shared" si="24"/>
        <v>18400</v>
      </c>
      <c r="P75" s="6">
        <f t="shared" si="25"/>
        <v>14720</v>
      </c>
      <c r="Q75" s="6">
        <f t="shared" si="26"/>
        <v>3680</v>
      </c>
      <c r="R75" s="8"/>
      <c r="S75" s="16">
        <f t="shared" si="21"/>
        <v>36800</v>
      </c>
      <c r="T75" s="8">
        <f t="shared" si="27"/>
        <v>1800</v>
      </c>
      <c r="U75" s="53">
        <v>0</v>
      </c>
      <c r="V75" s="54"/>
      <c r="W75" s="55"/>
      <c r="X75" s="6">
        <f t="shared" si="22"/>
        <v>1800</v>
      </c>
      <c r="Y75" s="16">
        <f t="shared" si="23"/>
        <v>35000</v>
      </c>
    </row>
    <row r="76" spans="1:25" s="80" customFormat="1">
      <c r="A76" s="8">
        <v>70</v>
      </c>
      <c r="B76" s="70">
        <v>101273051565</v>
      </c>
      <c r="C76" s="71">
        <v>6724536215</v>
      </c>
      <c r="D76" s="71"/>
      <c r="E76" s="85" t="s">
        <v>241</v>
      </c>
      <c r="F76" s="72" t="s">
        <v>242</v>
      </c>
      <c r="G76" s="73" t="s">
        <v>243</v>
      </c>
      <c r="H76" s="74">
        <v>797</v>
      </c>
      <c r="I76" s="75">
        <v>6</v>
      </c>
      <c r="J76" s="44">
        <v>13580</v>
      </c>
      <c r="K76" s="44">
        <v>6420</v>
      </c>
      <c r="L76" s="44">
        <v>0</v>
      </c>
      <c r="M76" s="45">
        <f t="shared" si="28"/>
        <v>20000</v>
      </c>
      <c r="N76" s="44">
        <f t="shared" si="29"/>
        <v>20000</v>
      </c>
      <c r="O76" s="46">
        <f t="shared" si="24"/>
        <v>2716</v>
      </c>
      <c r="P76" s="46">
        <f t="shared" si="25"/>
        <v>1284</v>
      </c>
      <c r="Q76" s="46">
        <f t="shared" si="26"/>
        <v>0</v>
      </c>
      <c r="R76" s="44"/>
      <c r="S76" s="76">
        <f t="shared" si="21"/>
        <v>4000</v>
      </c>
      <c r="T76" s="44">
        <f t="shared" si="27"/>
        <v>326</v>
      </c>
      <c r="U76" s="46">
        <f t="shared" ref="U76" si="30">ROUNDUP(S76*0.75/100,0)</f>
        <v>30</v>
      </c>
      <c r="V76" s="78"/>
      <c r="W76" s="79"/>
      <c r="X76" s="46">
        <f t="shared" si="22"/>
        <v>356</v>
      </c>
      <c r="Y76" s="76">
        <f t="shared" si="23"/>
        <v>3644</v>
      </c>
    </row>
    <row r="77" spans="1:25">
      <c r="A77" s="8">
        <v>71</v>
      </c>
      <c r="B77" s="38">
        <v>102187713960</v>
      </c>
      <c r="C77" s="37" t="s">
        <v>30</v>
      </c>
      <c r="D77" s="37"/>
      <c r="E77" s="88" t="s">
        <v>244</v>
      </c>
      <c r="F77" s="34" t="s">
        <v>245</v>
      </c>
      <c r="G77" s="36" t="s">
        <v>246</v>
      </c>
      <c r="H77" s="4">
        <v>967</v>
      </c>
      <c r="I77" s="12">
        <v>30</v>
      </c>
      <c r="J77" s="8">
        <v>30000</v>
      </c>
      <c r="K77" s="8">
        <v>24000</v>
      </c>
      <c r="L77" s="8">
        <v>6000</v>
      </c>
      <c r="M77" s="30">
        <f t="shared" si="28"/>
        <v>60000</v>
      </c>
      <c r="N77" s="8">
        <f t="shared" si="29"/>
        <v>60000</v>
      </c>
      <c r="O77" s="6">
        <f t="shared" si="24"/>
        <v>30000</v>
      </c>
      <c r="P77" s="6">
        <f t="shared" si="25"/>
        <v>24000</v>
      </c>
      <c r="Q77" s="6">
        <f t="shared" si="26"/>
        <v>6000</v>
      </c>
      <c r="R77" s="8"/>
      <c r="S77" s="16">
        <f t="shared" si="21"/>
        <v>60000</v>
      </c>
      <c r="T77" s="8">
        <f t="shared" si="27"/>
        <v>1800</v>
      </c>
      <c r="U77" s="53">
        <v>0</v>
      </c>
      <c r="V77" s="54"/>
      <c r="W77" s="55"/>
      <c r="X77" s="6">
        <f t="shared" si="22"/>
        <v>1800</v>
      </c>
      <c r="Y77" s="16">
        <f t="shared" si="23"/>
        <v>58200</v>
      </c>
    </row>
    <row r="78" spans="1:25" s="80" customFormat="1">
      <c r="A78" s="8">
        <v>72</v>
      </c>
      <c r="B78" s="70">
        <v>101827151535</v>
      </c>
      <c r="C78" s="71" t="s">
        <v>30</v>
      </c>
      <c r="D78" s="71"/>
      <c r="E78" s="85" t="s">
        <v>247</v>
      </c>
      <c r="F78" s="72" t="s">
        <v>248</v>
      </c>
      <c r="G78" s="73" t="s">
        <v>249</v>
      </c>
      <c r="H78" s="74">
        <v>969</v>
      </c>
      <c r="I78" s="75">
        <v>9</v>
      </c>
      <c r="J78" s="44">
        <v>16000</v>
      </c>
      <c r="K78" s="44">
        <v>12800</v>
      </c>
      <c r="L78" s="44">
        <v>3200</v>
      </c>
      <c r="M78" s="45">
        <f t="shared" si="28"/>
        <v>32000</v>
      </c>
      <c r="N78" s="44">
        <f t="shared" si="29"/>
        <v>32000</v>
      </c>
      <c r="O78" s="46">
        <f t="shared" si="24"/>
        <v>4800</v>
      </c>
      <c r="P78" s="46">
        <f t="shared" si="25"/>
        <v>3840</v>
      </c>
      <c r="Q78" s="46">
        <f t="shared" si="26"/>
        <v>960</v>
      </c>
      <c r="R78" s="44"/>
      <c r="S78" s="76">
        <f t="shared" si="21"/>
        <v>9600</v>
      </c>
      <c r="T78" s="44">
        <f t="shared" si="27"/>
        <v>540</v>
      </c>
      <c r="U78" s="77">
        <v>0</v>
      </c>
      <c r="V78" s="78"/>
      <c r="W78" s="79"/>
      <c r="X78" s="46">
        <f t="shared" si="22"/>
        <v>540</v>
      </c>
      <c r="Y78" s="76">
        <f t="shared" si="23"/>
        <v>9060</v>
      </c>
    </row>
    <row r="79" spans="1:25">
      <c r="A79" s="8">
        <v>73</v>
      </c>
      <c r="B79" s="38">
        <v>101883920831</v>
      </c>
      <c r="C79" s="37" t="s">
        <v>30</v>
      </c>
      <c r="D79" s="37"/>
      <c r="E79" s="88" t="s">
        <v>250</v>
      </c>
      <c r="F79" s="34" t="s">
        <v>251</v>
      </c>
      <c r="G79" s="36" t="s">
        <v>252</v>
      </c>
      <c r="H79" s="4">
        <v>811</v>
      </c>
      <c r="I79" s="12">
        <v>24</v>
      </c>
      <c r="J79" s="8">
        <v>15000</v>
      </c>
      <c r="K79" s="8">
        <v>12000</v>
      </c>
      <c r="L79" s="8">
        <v>3000</v>
      </c>
      <c r="M79" s="30">
        <f t="shared" si="28"/>
        <v>30000</v>
      </c>
      <c r="N79" s="8">
        <f t="shared" si="29"/>
        <v>30000</v>
      </c>
      <c r="O79" s="6">
        <f t="shared" si="24"/>
        <v>12000</v>
      </c>
      <c r="P79" s="6">
        <f t="shared" si="25"/>
        <v>9600</v>
      </c>
      <c r="Q79" s="6">
        <f t="shared" si="26"/>
        <v>2400</v>
      </c>
      <c r="R79" s="8"/>
      <c r="S79" s="16">
        <f t="shared" si="21"/>
        <v>24000</v>
      </c>
      <c r="T79" s="8">
        <f t="shared" si="27"/>
        <v>1440</v>
      </c>
      <c r="U79" s="53">
        <v>0</v>
      </c>
      <c r="V79" s="54"/>
      <c r="W79" s="55"/>
      <c r="X79" s="6">
        <f t="shared" si="22"/>
        <v>1440</v>
      </c>
      <c r="Y79" s="16">
        <f t="shared" si="23"/>
        <v>22560</v>
      </c>
    </row>
    <row r="80" spans="1:25">
      <c r="A80" s="8">
        <v>74</v>
      </c>
      <c r="B80" s="38">
        <v>102220294271</v>
      </c>
      <c r="C80" s="37">
        <v>6724794581</v>
      </c>
      <c r="D80" s="37"/>
      <c r="E80" s="88" t="s">
        <v>253</v>
      </c>
      <c r="F80" s="34" t="s">
        <v>254</v>
      </c>
      <c r="G80" s="36" t="s">
        <v>255</v>
      </c>
      <c r="H80" s="4">
        <v>812</v>
      </c>
      <c r="I80" s="12">
        <v>30</v>
      </c>
      <c r="J80" s="8">
        <v>13580</v>
      </c>
      <c r="K80" s="8">
        <v>6420</v>
      </c>
      <c r="L80" s="8">
        <v>0</v>
      </c>
      <c r="M80" s="30">
        <f t="shared" si="28"/>
        <v>20000</v>
      </c>
      <c r="N80" s="8">
        <f t="shared" si="29"/>
        <v>20000</v>
      </c>
      <c r="O80" s="6">
        <f t="shared" si="24"/>
        <v>13580</v>
      </c>
      <c r="P80" s="6">
        <f t="shared" si="25"/>
        <v>6420</v>
      </c>
      <c r="Q80" s="6">
        <f t="shared" si="26"/>
        <v>0</v>
      </c>
      <c r="R80" s="8"/>
      <c r="S80" s="16">
        <f t="shared" si="21"/>
        <v>20000</v>
      </c>
      <c r="T80" s="8">
        <f t="shared" si="27"/>
        <v>1630</v>
      </c>
      <c r="U80" s="6">
        <f t="shared" ref="U80" si="31">ROUNDUP(S80*0.75/100,0)</f>
        <v>150</v>
      </c>
      <c r="V80" s="54"/>
      <c r="W80" s="55"/>
      <c r="X80" s="6">
        <f t="shared" si="22"/>
        <v>1780</v>
      </c>
      <c r="Y80" s="16">
        <f t="shared" si="23"/>
        <v>18220</v>
      </c>
    </row>
    <row r="81" spans="1:25">
      <c r="A81" s="8">
        <v>75</v>
      </c>
      <c r="B81" s="38">
        <v>100771758672</v>
      </c>
      <c r="C81" s="37">
        <v>6720971073</v>
      </c>
      <c r="D81" s="37"/>
      <c r="E81" s="83" t="s">
        <v>256</v>
      </c>
      <c r="F81" s="34" t="s">
        <v>257</v>
      </c>
      <c r="G81" s="36" t="s">
        <v>258</v>
      </c>
      <c r="H81" s="4" t="s">
        <v>259</v>
      </c>
      <c r="I81" s="12">
        <v>30</v>
      </c>
      <c r="J81" s="8">
        <v>13500</v>
      </c>
      <c r="K81" s="8">
        <v>0</v>
      </c>
      <c r="L81" s="8">
        <v>0</v>
      </c>
      <c r="M81" s="30">
        <f t="shared" si="28"/>
        <v>13500</v>
      </c>
      <c r="N81" s="8">
        <f t="shared" si="29"/>
        <v>13500</v>
      </c>
      <c r="O81" s="6">
        <f t="shared" si="24"/>
        <v>13500</v>
      </c>
      <c r="P81" s="6">
        <f t="shared" si="25"/>
        <v>0</v>
      </c>
      <c r="Q81" s="6">
        <f t="shared" si="26"/>
        <v>0</v>
      </c>
      <c r="R81" s="8"/>
      <c r="S81" s="16">
        <f t="shared" si="21"/>
        <v>13500</v>
      </c>
      <c r="T81" s="8">
        <f t="shared" si="27"/>
        <v>1620</v>
      </c>
      <c r="U81" s="6">
        <f t="shared" ref="U81" si="32">ROUNDUP(S81*0.75/100,0)</f>
        <v>102</v>
      </c>
      <c r="V81" s="54"/>
      <c r="W81" s="55"/>
      <c r="X81" s="6">
        <f t="shared" si="22"/>
        <v>1722</v>
      </c>
      <c r="Y81" s="16">
        <f t="shared" si="23"/>
        <v>11778</v>
      </c>
    </row>
    <row r="82" spans="1:25">
      <c r="A82" s="8">
        <v>76</v>
      </c>
      <c r="B82" s="38">
        <v>102220294244</v>
      </c>
      <c r="C82" s="37">
        <v>6724830231</v>
      </c>
      <c r="D82" s="37"/>
      <c r="E82" s="83" t="s">
        <v>260</v>
      </c>
      <c r="F82" s="34" t="s">
        <v>261</v>
      </c>
      <c r="G82" s="36" t="s">
        <v>262</v>
      </c>
      <c r="H82" s="4">
        <v>1541</v>
      </c>
      <c r="I82" s="12">
        <v>30</v>
      </c>
      <c r="J82" s="8">
        <v>13580</v>
      </c>
      <c r="K82" s="8">
        <v>1420</v>
      </c>
      <c r="L82" s="8">
        <v>0</v>
      </c>
      <c r="M82" s="30">
        <f t="shared" ref="M82" si="33">J82+K82+L82</f>
        <v>15000</v>
      </c>
      <c r="N82" s="8">
        <f t="shared" ref="N82" si="34">M82</f>
        <v>15000</v>
      </c>
      <c r="O82" s="6">
        <f t="shared" ref="O82:O112" si="35">ROUND(J82/$AA$3*I82,0)</f>
        <v>13580</v>
      </c>
      <c r="P82" s="6">
        <f t="shared" ref="P82:P112" si="36">ROUND(K82/$AA$3*I82,0)</f>
        <v>1420</v>
      </c>
      <c r="Q82" s="6">
        <f t="shared" ref="Q82:Q112" si="37">ROUND(L82/$AA$3*I82,0)</f>
        <v>0</v>
      </c>
      <c r="R82" s="8"/>
      <c r="S82" s="16">
        <f t="shared" ref="S82:S100" si="38">O82+P82+Q82</f>
        <v>15000</v>
      </c>
      <c r="T82" s="8">
        <f t="shared" si="27"/>
        <v>1630</v>
      </c>
      <c r="U82" s="6">
        <f t="shared" ref="U82" si="39">ROUNDUP(S82*0.75/100,0)</f>
        <v>113</v>
      </c>
      <c r="V82" s="54"/>
      <c r="W82" s="55"/>
      <c r="X82" s="6">
        <f t="shared" si="22"/>
        <v>1743</v>
      </c>
      <c r="Y82" s="16">
        <f t="shared" si="23"/>
        <v>13257</v>
      </c>
    </row>
    <row r="83" spans="1:25">
      <c r="A83" s="8">
        <v>77</v>
      </c>
      <c r="B83" s="38">
        <v>101968638717</v>
      </c>
      <c r="C83" s="37" t="s">
        <v>30</v>
      </c>
      <c r="D83" s="37"/>
      <c r="E83" s="88" t="s">
        <v>263</v>
      </c>
      <c r="F83" s="34" t="s">
        <v>264</v>
      </c>
      <c r="G83" s="36" t="s">
        <v>265</v>
      </c>
      <c r="H83" s="4">
        <v>1005</v>
      </c>
      <c r="I83" s="12">
        <v>30</v>
      </c>
      <c r="J83" s="8">
        <v>15000</v>
      </c>
      <c r="K83" s="8">
        <v>12000</v>
      </c>
      <c r="L83" s="8">
        <v>3000</v>
      </c>
      <c r="M83" s="30">
        <f t="shared" ref="M83:M85" si="40">J83+K83+L83</f>
        <v>30000</v>
      </c>
      <c r="N83" s="8">
        <f t="shared" ref="N83:N85" si="41">M83</f>
        <v>30000</v>
      </c>
      <c r="O83" s="6">
        <f t="shared" si="35"/>
        <v>15000</v>
      </c>
      <c r="P83" s="6">
        <f t="shared" si="36"/>
        <v>12000</v>
      </c>
      <c r="Q83" s="6">
        <f t="shared" si="37"/>
        <v>3000</v>
      </c>
      <c r="R83" s="8"/>
      <c r="S83" s="16">
        <f t="shared" si="38"/>
        <v>30000</v>
      </c>
      <c r="T83" s="8">
        <f t="shared" si="27"/>
        <v>1800</v>
      </c>
      <c r="U83" s="53">
        <v>0</v>
      </c>
      <c r="V83" s="54"/>
      <c r="W83" s="55"/>
      <c r="X83" s="6">
        <f t="shared" si="22"/>
        <v>1800</v>
      </c>
      <c r="Y83" s="16">
        <f t="shared" si="23"/>
        <v>28200</v>
      </c>
    </row>
    <row r="84" spans="1:25">
      <c r="A84" s="8">
        <v>78</v>
      </c>
      <c r="B84" s="38">
        <v>102229322700</v>
      </c>
      <c r="C84" s="37">
        <v>6724944505</v>
      </c>
      <c r="D84" s="37" t="s">
        <v>43</v>
      </c>
      <c r="E84" s="88" t="s">
        <v>266</v>
      </c>
      <c r="F84" s="34" t="s">
        <v>267</v>
      </c>
      <c r="G84" s="36" t="s">
        <v>268</v>
      </c>
      <c r="H84" s="4">
        <v>1019</v>
      </c>
      <c r="I84" s="12">
        <v>30</v>
      </c>
      <c r="J84" s="8">
        <v>13580</v>
      </c>
      <c r="K84" s="8">
        <v>6420</v>
      </c>
      <c r="L84" s="8">
        <v>0</v>
      </c>
      <c r="M84" s="30">
        <f t="shared" si="40"/>
        <v>20000</v>
      </c>
      <c r="N84" s="8">
        <f t="shared" si="41"/>
        <v>20000</v>
      </c>
      <c r="O84" s="6">
        <f t="shared" si="35"/>
        <v>13580</v>
      </c>
      <c r="P84" s="6">
        <f t="shared" si="36"/>
        <v>6420</v>
      </c>
      <c r="Q84" s="6">
        <f t="shared" si="37"/>
        <v>0</v>
      </c>
      <c r="R84" s="8"/>
      <c r="S84" s="16">
        <f t="shared" si="38"/>
        <v>20000</v>
      </c>
      <c r="T84" s="8">
        <f t="shared" si="27"/>
        <v>1630</v>
      </c>
      <c r="U84" s="6">
        <f t="shared" ref="U84:U88" si="42">ROUNDUP(S84*0.75/100,0)</f>
        <v>150</v>
      </c>
      <c r="V84" s="54"/>
      <c r="W84" s="55"/>
      <c r="X84" s="6">
        <f t="shared" si="22"/>
        <v>1780</v>
      </c>
      <c r="Y84" s="16">
        <f t="shared" si="23"/>
        <v>18220</v>
      </c>
    </row>
    <row r="85" spans="1:25" ht="15" customHeight="1">
      <c r="A85" s="8">
        <v>79</v>
      </c>
      <c r="B85" s="38">
        <v>102186018751</v>
      </c>
      <c r="C85" s="37">
        <v>6724944511</v>
      </c>
      <c r="D85" s="37" t="s">
        <v>43</v>
      </c>
      <c r="E85" s="88" t="s">
        <v>269</v>
      </c>
      <c r="F85" s="34" t="s">
        <v>270</v>
      </c>
      <c r="G85" s="36" t="s">
        <v>271</v>
      </c>
      <c r="H85" s="4">
        <v>1021</v>
      </c>
      <c r="I85" s="12">
        <v>30</v>
      </c>
      <c r="J85" s="8">
        <v>13580</v>
      </c>
      <c r="K85" s="8">
        <v>6420</v>
      </c>
      <c r="L85" s="8">
        <v>0</v>
      </c>
      <c r="M85" s="30">
        <f t="shared" si="40"/>
        <v>20000</v>
      </c>
      <c r="N85" s="8">
        <f t="shared" si="41"/>
        <v>20000</v>
      </c>
      <c r="O85" s="6">
        <f t="shared" si="35"/>
        <v>13580</v>
      </c>
      <c r="P85" s="6">
        <f t="shared" si="36"/>
        <v>6420</v>
      </c>
      <c r="Q85" s="6">
        <f t="shared" si="37"/>
        <v>0</v>
      </c>
      <c r="R85" s="8"/>
      <c r="S85" s="16">
        <f t="shared" si="38"/>
        <v>20000</v>
      </c>
      <c r="T85" s="8">
        <f t="shared" si="27"/>
        <v>1630</v>
      </c>
      <c r="U85" s="6">
        <f t="shared" si="42"/>
        <v>150</v>
      </c>
      <c r="V85" s="54"/>
      <c r="W85" s="55"/>
      <c r="X85" s="6">
        <f t="shared" si="22"/>
        <v>1780</v>
      </c>
      <c r="Y85" s="16">
        <f t="shared" si="23"/>
        <v>18220</v>
      </c>
    </row>
    <row r="86" spans="1:25">
      <c r="A86" s="8">
        <v>80</v>
      </c>
      <c r="B86" s="38">
        <v>102231608704</v>
      </c>
      <c r="C86" s="37">
        <v>6724944509</v>
      </c>
      <c r="D86" s="37" t="s">
        <v>43</v>
      </c>
      <c r="E86" s="88" t="s">
        <v>272</v>
      </c>
      <c r="F86" s="34" t="s">
        <v>273</v>
      </c>
      <c r="G86" s="36" t="s">
        <v>274</v>
      </c>
      <c r="H86" s="4">
        <v>1022</v>
      </c>
      <c r="I86" s="12">
        <v>30</v>
      </c>
      <c r="J86" s="8">
        <v>13580</v>
      </c>
      <c r="K86" s="8">
        <v>8420</v>
      </c>
      <c r="L86" s="8">
        <v>0</v>
      </c>
      <c r="M86" s="30">
        <f t="shared" ref="M86:M88" si="43">J86+K86+L86</f>
        <v>22000</v>
      </c>
      <c r="N86" s="8">
        <f t="shared" ref="N86:N89" si="44">M86</f>
        <v>22000</v>
      </c>
      <c r="O86" s="6">
        <f t="shared" si="35"/>
        <v>13580</v>
      </c>
      <c r="P86" s="6">
        <f t="shared" si="36"/>
        <v>8420</v>
      </c>
      <c r="Q86" s="6">
        <f t="shared" si="37"/>
        <v>0</v>
      </c>
      <c r="R86" s="8"/>
      <c r="S86" s="16">
        <f t="shared" si="38"/>
        <v>22000</v>
      </c>
      <c r="T86" s="8">
        <f t="shared" si="27"/>
        <v>1630</v>
      </c>
      <c r="U86" s="51">
        <v>0</v>
      </c>
      <c r="V86" s="54"/>
      <c r="W86" s="55"/>
      <c r="X86" s="6">
        <f t="shared" si="22"/>
        <v>1630</v>
      </c>
      <c r="Y86" s="16">
        <f t="shared" si="23"/>
        <v>20370</v>
      </c>
    </row>
    <row r="87" spans="1:25">
      <c r="A87" s="8">
        <v>81</v>
      </c>
      <c r="B87" s="38">
        <v>102240263949</v>
      </c>
      <c r="C87" s="37">
        <v>6725008497</v>
      </c>
      <c r="D87" s="37" t="s">
        <v>43</v>
      </c>
      <c r="E87" s="88" t="s">
        <v>275</v>
      </c>
      <c r="F87" s="34" t="s">
        <v>276</v>
      </c>
      <c r="G87" s="36" t="s">
        <v>277</v>
      </c>
      <c r="H87" s="4">
        <v>1094</v>
      </c>
      <c r="I87" s="12">
        <v>29</v>
      </c>
      <c r="J87" s="8">
        <v>13580</v>
      </c>
      <c r="K87" s="8">
        <v>9200</v>
      </c>
      <c r="L87" s="8">
        <v>220</v>
      </c>
      <c r="M87" s="30">
        <f t="shared" si="43"/>
        <v>23000</v>
      </c>
      <c r="N87" s="8">
        <f t="shared" si="44"/>
        <v>23000</v>
      </c>
      <c r="O87" s="6">
        <f t="shared" si="35"/>
        <v>13127</v>
      </c>
      <c r="P87" s="6">
        <f t="shared" si="36"/>
        <v>8893</v>
      </c>
      <c r="Q87" s="6">
        <f t="shared" si="37"/>
        <v>213</v>
      </c>
      <c r="R87" s="8"/>
      <c r="S87" s="16">
        <f t="shared" si="38"/>
        <v>22233</v>
      </c>
      <c r="T87" s="8">
        <f t="shared" si="27"/>
        <v>1575</v>
      </c>
      <c r="U87" s="51">
        <v>0</v>
      </c>
      <c r="V87" s="54"/>
      <c r="W87" s="55"/>
      <c r="X87" s="6">
        <f t="shared" si="22"/>
        <v>1575</v>
      </c>
      <c r="Y87" s="16">
        <f t="shared" si="23"/>
        <v>20658</v>
      </c>
    </row>
    <row r="88" spans="1:25">
      <c r="A88" s="8">
        <v>82</v>
      </c>
      <c r="B88" s="38">
        <v>102240263690</v>
      </c>
      <c r="C88" s="37">
        <v>6725008496</v>
      </c>
      <c r="D88" s="37"/>
      <c r="E88" s="88" t="s">
        <v>161</v>
      </c>
      <c r="F88" s="34" t="s">
        <v>278</v>
      </c>
      <c r="G88" s="36" t="s">
        <v>279</v>
      </c>
      <c r="H88" s="4">
        <v>1103</v>
      </c>
      <c r="I88" s="12">
        <v>30</v>
      </c>
      <c r="J88" s="8">
        <v>13580</v>
      </c>
      <c r="K88" s="8">
        <v>6420</v>
      </c>
      <c r="L88" s="8">
        <v>0</v>
      </c>
      <c r="M88" s="30">
        <f t="shared" si="43"/>
        <v>20000</v>
      </c>
      <c r="N88" s="8">
        <f t="shared" si="44"/>
        <v>20000</v>
      </c>
      <c r="O88" s="6">
        <f t="shared" si="35"/>
        <v>13580</v>
      </c>
      <c r="P88" s="6">
        <f t="shared" si="36"/>
        <v>6420</v>
      </c>
      <c r="Q88" s="6">
        <f t="shared" si="37"/>
        <v>0</v>
      </c>
      <c r="R88" s="8"/>
      <c r="S88" s="16">
        <f t="shared" si="38"/>
        <v>20000</v>
      </c>
      <c r="T88" s="8">
        <f t="shared" si="27"/>
        <v>1630</v>
      </c>
      <c r="U88" s="6">
        <f t="shared" si="42"/>
        <v>150</v>
      </c>
      <c r="V88" s="54"/>
      <c r="W88" s="55"/>
      <c r="X88" s="6">
        <f t="shared" ref="X88:X106" si="45">T88+U88+V88+W88</f>
        <v>1780</v>
      </c>
      <c r="Y88" s="16">
        <f t="shared" ref="Y88:Y106" si="46">S88-X88</f>
        <v>18220</v>
      </c>
    </row>
    <row r="89" spans="1:25">
      <c r="A89" s="8">
        <v>83</v>
      </c>
      <c r="B89" s="38">
        <v>102241142661</v>
      </c>
      <c r="C89" s="37">
        <v>6725021368</v>
      </c>
      <c r="D89" s="37" t="s">
        <v>43</v>
      </c>
      <c r="E89" s="88" t="s">
        <v>280</v>
      </c>
      <c r="F89" s="34" t="s">
        <v>281</v>
      </c>
      <c r="G89" s="36" t="s">
        <v>282</v>
      </c>
      <c r="H89" s="4">
        <v>1077</v>
      </c>
      <c r="I89" s="12">
        <v>30</v>
      </c>
      <c r="J89" s="8">
        <v>13580</v>
      </c>
      <c r="K89" s="8">
        <v>10000</v>
      </c>
      <c r="L89" s="8">
        <v>1420</v>
      </c>
      <c r="M89" s="30">
        <f t="shared" ref="M89" si="47">J89+K89+L89</f>
        <v>25000</v>
      </c>
      <c r="N89" s="8">
        <f t="shared" si="44"/>
        <v>25000</v>
      </c>
      <c r="O89" s="6">
        <f t="shared" si="35"/>
        <v>13580</v>
      </c>
      <c r="P89" s="6">
        <f t="shared" si="36"/>
        <v>10000</v>
      </c>
      <c r="Q89" s="6">
        <f t="shared" si="37"/>
        <v>1420</v>
      </c>
      <c r="R89" s="8"/>
      <c r="S89" s="16">
        <f t="shared" si="38"/>
        <v>25000</v>
      </c>
      <c r="T89" s="8">
        <f t="shared" si="27"/>
        <v>1630</v>
      </c>
      <c r="U89" s="51">
        <v>0</v>
      </c>
      <c r="V89" s="54"/>
      <c r="W89" s="55"/>
      <c r="X89" s="6">
        <f t="shared" si="45"/>
        <v>1630</v>
      </c>
      <c r="Y89" s="16">
        <f t="shared" si="46"/>
        <v>23370</v>
      </c>
    </row>
    <row r="90" spans="1:25">
      <c r="A90" s="8">
        <v>84</v>
      </c>
      <c r="B90" s="38">
        <v>102244806449</v>
      </c>
      <c r="C90" s="37">
        <v>6725065257</v>
      </c>
      <c r="D90" s="37"/>
      <c r="E90" s="88" t="s">
        <v>283</v>
      </c>
      <c r="F90" s="34" t="s">
        <v>284</v>
      </c>
      <c r="G90" s="36" t="s">
        <v>285</v>
      </c>
      <c r="H90" s="4">
        <v>1156</v>
      </c>
      <c r="I90" s="12">
        <v>28</v>
      </c>
      <c r="J90" s="8">
        <v>13580</v>
      </c>
      <c r="K90" s="8">
        <v>9600</v>
      </c>
      <c r="L90" s="8">
        <v>820</v>
      </c>
      <c r="M90" s="30">
        <f t="shared" ref="M90:M95" si="48">J90+K90+L90</f>
        <v>24000</v>
      </c>
      <c r="N90" s="8">
        <f t="shared" ref="N90:N95" si="49">M90</f>
        <v>24000</v>
      </c>
      <c r="O90" s="6">
        <f t="shared" si="35"/>
        <v>12675</v>
      </c>
      <c r="P90" s="6">
        <f t="shared" si="36"/>
        <v>8960</v>
      </c>
      <c r="Q90" s="6">
        <f t="shared" si="37"/>
        <v>765</v>
      </c>
      <c r="R90" s="8"/>
      <c r="S90" s="16">
        <f t="shared" si="38"/>
        <v>22400</v>
      </c>
      <c r="T90" s="8">
        <f t="shared" si="27"/>
        <v>1521</v>
      </c>
      <c r="U90" s="51">
        <v>0</v>
      </c>
      <c r="V90" s="54"/>
      <c r="W90" s="55"/>
      <c r="X90" s="6">
        <f t="shared" si="45"/>
        <v>1521</v>
      </c>
      <c r="Y90" s="16">
        <f t="shared" si="46"/>
        <v>20879</v>
      </c>
    </row>
    <row r="91" spans="1:25">
      <c r="A91" s="8">
        <v>85</v>
      </c>
      <c r="B91" s="38">
        <v>102247665882</v>
      </c>
      <c r="C91" s="37" t="s">
        <v>30</v>
      </c>
      <c r="D91" s="37"/>
      <c r="E91" s="83" t="s">
        <v>286</v>
      </c>
      <c r="F91" s="34" t="s">
        <v>287</v>
      </c>
      <c r="G91" s="36" t="s">
        <v>288</v>
      </c>
      <c r="H91" s="4">
        <v>1109</v>
      </c>
      <c r="I91" s="12">
        <v>30</v>
      </c>
      <c r="J91" s="8">
        <v>21500</v>
      </c>
      <c r="K91" s="8">
        <v>17200</v>
      </c>
      <c r="L91" s="8">
        <v>4300</v>
      </c>
      <c r="M91" s="30">
        <f t="shared" si="48"/>
        <v>43000</v>
      </c>
      <c r="N91" s="8">
        <f t="shared" si="49"/>
        <v>43000</v>
      </c>
      <c r="O91" s="6">
        <f t="shared" si="35"/>
        <v>21500</v>
      </c>
      <c r="P91" s="6">
        <f t="shared" si="36"/>
        <v>17200</v>
      </c>
      <c r="Q91" s="6">
        <f t="shared" si="37"/>
        <v>4300</v>
      </c>
      <c r="R91" s="8"/>
      <c r="S91" s="16">
        <f t="shared" si="38"/>
        <v>43000</v>
      </c>
      <c r="T91" s="8">
        <f t="shared" si="27"/>
        <v>1800</v>
      </c>
      <c r="U91" s="53">
        <v>0</v>
      </c>
      <c r="V91" s="54"/>
      <c r="W91" s="55"/>
      <c r="X91" s="6">
        <f t="shared" si="45"/>
        <v>1800</v>
      </c>
      <c r="Y91" s="16">
        <f t="shared" si="46"/>
        <v>41200</v>
      </c>
    </row>
    <row r="92" spans="1:25">
      <c r="A92" s="8">
        <v>86</v>
      </c>
      <c r="B92" s="38">
        <v>101682050028</v>
      </c>
      <c r="C92" s="37" t="s">
        <v>30</v>
      </c>
      <c r="D92" s="37"/>
      <c r="E92" s="83" t="s">
        <v>289</v>
      </c>
      <c r="F92" s="34" t="s">
        <v>290</v>
      </c>
      <c r="G92" s="36" t="s">
        <v>291</v>
      </c>
      <c r="H92" s="4">
        <v>1110</v>
      </c>
      <c r="I92" s="12">
        <v>30</v>
      </c>
      <c r="J92" s="8">
        <v>13580</v>
      </c>
      <c r="K92" s="8">
        <v>10000</v>
      </c>
      <c r="L92" s="8">
        <v>1420</v>
      </c>
      <c r="M92" s="30">
        <f t="shared" si="48"/>
        <v>25000</v>
      </c>
      <c r="N92" s="8">
        <f t="shared" si="49"/>
        <v>25000</v>
      </c>
      <c r="O92" s="6">
        <f t="shared" si="35"/>
        <v>13580</v>
      </c>
      <c r="P92" s="6">
        <f t="shared" si="36"/>
        <v>10000</v>
      </c>
      <c r="Q92" s="6">
        <f t="shared" si="37"/>
        <v>1420</v>
      </c>
      <c r="R92" s="8"/>
      <c r="S92" s="16">
        <f t="shared" si="38"/>
        <v>25000</v>
      </c>
      <c r="T92" s="8">
        <f t="shared" si="27"/>
        <v>1630</v>
      </c>
      <c r="U92" s="53">
        <v>0</v>
      </c>
      <c r="V92" s="54"/>
      <c r="W92" s="55"/>
      <c r="X92" s="6">
        <f t="shared" si="45"/>
        <v>1630</v>
      </c>
      <c r="Y92" s="16">
        <f t="shared" si="46"/>
        <v>23370</v>
      </c>
    </row>
    <row r="93" spans="1:25">
      <c r="A93" s="8">
        <v>87</v>
      </c>
      <c r="B93" s="38">
        <v>102244791161</v>
      </c>
      <c r="C93" s="37">
        <v>6725053062</v>
      </c>
      <c r="D93" s="37" t="s">
        <v>43</v>
      </c>
      <c r="E93" s="88" t="s">
        <v>292</v>
      </c>
      <c r="F93" s="34" t="s">
        <v>293</v>
      </c>
      <c r="G93" s="36" t="s">
        <v>294</v>
      </c>
      <c r="H93" s="4">
        <v>1106</v>
      </c>
      <c r="I93" s="12">
        <v>30</v>
      </c>
      <c r="J93" s="8">
        <v>13580</v>
      </c>
      <c r="K93" s="8">
        <v>6420</v>
      </c>
      <c r="L93" s="8">
        <v>0</v>
      </c>
      <c r="M93" s="30">
        <f t="shared" si="48"/>
        <v>20000</v>
      </c>
      <c r="N93" s="8">
        <f t="shared" si="49"/>
        <v>20000</v>
      </c>
      <c r="O93" s="6">
        <f t="shared" si="35"/>
        <v>13580</v>
      </c>
      <c r="P93" s="6">
        <f t="shared" si="36"/>
        <v>6420</v>
      </c>
      <c r="Q93" s="6">
        <f t="shared" si="37"/>
        <v>0</v>
      </c>
      <c r="R93" s="8"/>
      <c r="S93" s="16">
        <f t="shared" si="38"/>
        <v>20000</v>
      </c>
      <c r="T93" s="8">
        <f t="shared" si="27"/>
        <v>1630</v>
      </c>
      <c r="U93" s="6">
        <f t="shared" ref="U93:U95" si="50">ROUNDUP(S93*0.75/100,0)</f>
        <v>150</v>
      </c>
      <c r="V93" s="54"/>
      <c r="W93" s="55"/>
      <c r="X93" s="6">
        <f t="shared" si="45"/>
        <v>1780</v>
      </c>
      <c r="Y93" s="16">
        <f t="shared" si="46"/>
        <v>18220</v>
      </c>
    </row>
    <row r="94" spans="1:25">
      <c r="A94" s="8">
        <v>88</v>
      </c>
      <c r="B94" s="38">
        <v>101779834733</v>
      </c>
      <c r="C94" s="37">
        <v>6720588396</v>
      </c>
      <c r="D94" s="37" t="s">
        <v>43</v>
      </c>
      <c r="E94" s="88" t="s">
        <v>295</v>
      </c>
      <c r="F94" s="34" t="s">
        <v>296</v>
      </c>
      <c r="G94" s="36" t="s">
        <v>297</v>
      </c>
      <c r="H94" s="4">
        <v>1141</v>
      </c>
      <c r="I94" s="12">
        <v>30</v>
      </c>
      <c r="J94" s="8">
        <v>13580</v>
      </c>
      <c r="K94" s="8">
        <v>6420</v>
      </c>
      <c r="L94" s="8">
        <v>0</v>
      </c>
      <c r="M94" s="30">
        <f t="shared" si="48"/>
        <v>20000</v>
      </c>
      <c r="N94" s="8">
        <f t="shared" si="49"/>
        <v>20000</v>
      </c>
      <c r="O94" s="6">
        <f t="shared" si="35"/>
        <v>13580</v>
      </c>
      <c r="P94" s="6">
        <f t="shared" si="36"/>
        <v>6420</v>
      </c>
      <c r="Q94" s="6">
        <f t="shared" si="37"/>
        <v>0</v>
      </c>
      <c r="R94" s="8"/>
      <c r="S94" s="16">
        <f t="shared" si="38"/>
        <v>20000</v>
      </c>
      <c r="T94" s="8">
        <f t="shared" si="27"/>
        <v>1630</v>
      </c>
      <c r="U94" s="6">
        <f t="shared" si="50"/>
        <v>150</v>
      </c>
      <c r="V94" s="54"/>
      <c r="W94" s="55"/>
      <c r="X94" s="6">
        <f t="shared" si="45"/>
        <v>1780</v>
      </c>
      <c r="Y94" s="16">
        <f t="shared" si="46"/>
        <v>18220</v>
      </c>
    </row>
    <row r="95" spans="1:25">
      <c r="A95" s="8">
        <v>89</v>
      </c>
      <c r="B95" s="38">
        <v>101824858543</v>
      </c>
      <c r="C95" s="37">
        <v>2112696150</v>
      </c>
      <c r="D95" s="37" t="s">
        <v>43</v>
      </c>
      <c r="E95" s="88" t="s">
        <v>298</v>
      </c>
      <c r="F95" s="34" t="s">
        <v>299</v>
      </c>
      <c r="G95" s="36" t="s">
        <v>300</v>
      </c>
      <c r="H95" s="4">
        <v>1183</v>
      </c>
      <c r="I95" s="12">
        <v>30</v>
      </c>
      <c r="J95" s="8">
        <v>13580</v>
      </c>
      <c r="K95" s="8">
        <v>6420</v>
      </c>
      <c r="L95" s="8">
        <v>0</v>
      </c>
      <c r="M95" s="30">
        <f t="shared" si="48"/>
        <v>20000</v>
      </c>
      <c r="N95" s="8">
        <f t="shared" si="49"/>
        <v>20000</v>
      </c>
      <c r="O95" s="6">
        <f t="shared" si="35"/>
        <v>13580</v>
      </c>
      <c r="P95" s="6">
        <f t="shared" si="36"/>
        <v>6420</v>
      </c>
      <c r="Q95" s="6">
        <f t="shared" si="37"/>
        <v>0</v>
      </c>
      <c r="R95" s="8"/>
      <c r="S95" s="16">
        <f t="shared" si="38"/>
        <v>20000</v>
      </c>
      <c r="T95" s="8">
        <f t="shared" si="27"/>
        <v>1630</v>
      </c>
      <c r="U95" s="6">
        <f t="shared" si="50"/>
        <v>150</v>
      </c>
      <c r="V95" s="54"/>
      <c r="W95" s="55"/>
      <c r="X95" s="6">
        <f t="shared" si="45"/>
        <v>1780</v>
      </c>
      <c r="Y95" s="16">
        <f t="shared" si="46"/>
        <v>18220</v>
      </c>
    </row>
    <row r="96" spans="1:25" s="80" customFormat="1">
      <c r="A96" s="8">
        <v>90</v>
      </c>
      <c r="B96" s="70">
        <v>102261659322</v>
      </c>
      <c r="C96" s="71" t="s">
        <v>30</v>
      </c>
      <c r="D96" s="71"/>
      <c r="E96" s="85" t="s">
        <v>301</v>
      </c>
      <c r="F96" s="72" t="s">
        <v>302</v>
      </c>
      <c r="G96" s="73" t="s">
        <v>303</v>
      </c>
      <c r="H96" s="74">
        <v>1312</v>
      </c>
      <c r="I96" s="75">
        <v>7</v>
      </c>
      <c r="J96" s="44">
        <v>13580</v>
      </c>
      <c r="K96" s="44">
        <v>8420</v>
      </c>
      <c r="L96" s="44">
        <v>0</v>
      </c>
      <c r="M96" s="45">
        <f t="shared" ref="M96:M100" si="51">J96+K96+L96</f>
        <v>22000</v>
      </c>
      <c r="N96" s="44">
        <f t="shared" ref="N96:N100" si="52">M96</f>
        <v>22000</v>
      </c>
      <c r="O96" s="46">
        <f t="shared" si="35"/>
        <v>3169</v>
      </c>
      <c r="P96" s="46">
        <f t="shared" si="36"/>
        <v>1965</v>
      </c>
      <c r="Q96" s="46">
        <f t="shared" si="37"/>
        <v>0</v>
      </c>
      <c r="R96" s="44"/>
      <c r="S96" s="76">
        <f t="shared" si="38"/>
        <v>5134</v>
      </c>
      <c r="T96" s="44">
        <f t="shared" ref="T96:T127" si="53">ROUND(IF(J96&gt;15000,(15000/$AA$3*I96)*12%,O96*12%)*1,0)</f>
        <v>380</v>
      </c>
      <c r="U96" s="77">
        <v>0</v>
      </c>
      <c r="V96" s="78"/>
      <c r="W96" s="79"/>
      <c r="X96" s="46">
        <f t="shared" si="45"/>
        <v>380</v>
      </c>
      <c r="Y96" s="76">
        <f t="shared" si="46"/>
        <v>4754</v>
      </c>
    </row>
    <row r="97" spans="1:25">
      <c r="A97" s="8">
        <v>91</v>
      </c>
      <c r="B97" s="38">
        <v>102261643810</v>
      </c>
      <c r="C97" s="37">
        <v>6725178242</v>
      </c>
      <c r="D97" s="37"/>
      <c r="E97" s="88" t="s">
        <v>304</v>
      </c>
      <c r="F97" s="34" t="s">
        <v>305</v>
      </c>
      <c r="G97" s="36" t="s">
        <v>306</v>
      </c>
      <c r="H97" s="4">
        <v>1305</v>
      </c>
      <c r="I97" s="12">
        <v>30</v>
      </c>
      <c r="J97" s="8">
        <v>13580</v>
      </c>
      <c r="K97" s="8">
        <v>6420</v>
      </c>
      <c r="L97" s="8">
        <v>0</v>
      </c>
      <c r="M97" s="30">
        <f t="shared" si="51"/>
        <v>20000</v>
      </c>
      <c r="N97" s="8">
        <f t="shared" si="52"/>
        <v>20000</v>
      </c>
      <c r="O97" s="6">
        <f t="shared" si="35"/>
        <v>13580</v>
      </c>
      <c r="P97" s="6">
        <f t="shared" si="36"/>
        <v>6420</v>
      </c>
      <c r="Q97" s="6">
        <f t="shared" si="37"/>
        <v>0</v>
      </c>
      <c r="R97" s="8"/>
      <c r="S97" s="16">
        <f t="shared" si="38"/>
        <v>20000</v>
      </c>
      <c r="T97" s="8">
        <f t="shared" si="53"/>
        <v>1630</v>
      </c>
      <c r="U97" s="6">
        <f t="shared" ref="U97:U100" si="54">ROUNDUP(S97*0.75/100,0)</f>
        <v>150</v>
      </c>
      <c r="V97" s="54"/>
      <c r="W97" s="55"/>
      <c r="X97" s="6">
        <f t="shared" si="45"/>
        <v>1780</v>
      </c>
      <c r="Y97" s="16">
        <f t="shared" si="46"/>
        <v>18220</v>
      </c>
    </row>
    <row r="98" spans="1:25">
      <c r="A98" s="8">
        <v>92</v>
      </c>
      <c r="B98" s="38">
        <v>102252046217</v>
      </c>
      <c r="C98" s="37">
        <v>6725178314</v>
      </c>
      <c r="D98" s="37"/>
      <c r="E98" s="88" t="s">
        <v>307</v>
      </c>
      <c r="F98" s="34" t="s">
        <v>308</v>
      </c>
      <c r="G98" s="36" t="s">
        <v>309</v>
      </c>
      <c r="H98" s="4">
        <v>1297</v>
      </c>
      <c r="I98" s="12">
        <v>30</v>
      </c>
      <c r="J98" s="8">
        <v>13580</v>
      </c>
      <c r="K98" s="8">
        <v>6420</v>
      </c>
      <c r="L98" s="8">
        <v>0</v>
      </c>
      <c r="M98" s="30">
        <f t="shared" si="51"/>
        <v>20000</v>
      </c>
      <c r="N98" s="8">
        <f t="shared" si="52"/>
        <v>20000</v>
      </c>
      <c r="O98" s="6">
        <f t="shared" si="35"/>
        <v>13580</v>
      </c>
      <c r="P98" s="6">
        <f t="shared" si="36"/>
        <v>6420</v>
      </c>
      <c r="Q98" s="6">
        <f t="shared" si="37"/>
        <v>0</v>
      </c>
      <c r="R98" s="8"/>
      <c r="S98" s="16">
        <f t="shared" si="38"/>
        <v>20000</v>
      </c>
      <c r="T98" s="8">
        <f t="shared" si="53"/>
        <v>1630</v>
      </c>
      <c r="U98" s="6">
        <f t="shared" si="54"/>
        <v>150</v>
      </c>
      <c r="V98" s="54"/>
      <c r="W98" s="55"/>
      <c r="X98" s="6">
        <f t="shared" si="45"/>
        <v>1780</v>
      </c>
      <c r="Y98" s="16">
        <f t="shared" si="46"/>
        <v>18220</v>
      </c>
    </row>
    <row r="99" spans="1:25" s="80" customFormat="1">
      <c r="A99" s="8">
        <v>93</v>
      </c>
      <c r="B99" s="70">
        <v>101160630717</v>
      </c>
      <c r="C99" s="71">
        <v>6725165501</v>
      </c>
      <c r="D99" s="71" t="s">
        <v>43</v>
      </c>
      <c r="E99" s="85" t="s">
        <v>310</v>
      </c>
      <c r="F99" s="72" t="s">
        <v>311</v>
      </c>
      <c r="G99" s="73" t="s">
        <v>312</v>
      </c>
      <c r="H99" s="74">
        <v>1263</v>
      </c>
      <c r="I99" s="75">
        <v>23</v>
      </c>
      <c r="J99" s="44">
        <v>13580</v>
      </c>
      <c r="K99" s="44">
        <v>1420</v>
      </c>
      <c r="L99" s="44">
        <v>0</v>
      </c>
      <c r="M99" s="45">
        <f t="shared" si="51"/>
        <v>15000</v>
      </c>
      <c r="N99" s="44">
        <f t="shared" si="52"/>
        <v>15000</v>
      </c>
      <c r="O99" s="46">
        <f t="shared" si="35"/>
        <v>10411</v>
      </c>
      <c r="P99" s="46">
        <f t="shared" si="36"/>
        <v>1089</v>
      </c>
      <c r="Q99" s="46">
        <f t="shared" si="37"/>
        <v>0</v>
      </c>
      <c r="R99" s="44"/>
      <c r="S99" s="76">
        <f t="shared" si="38"/>
        <v>11500</v>
      </c>
      <c r="T99" s="44">
        <f t="shared" si="53"/>
        <v>1249</v>
      </c>
      <c r="U99" s="46">
        <f t="shared" si="54"/>
        <v>87</v>
      </c>
      <c r="V99" s="78"/>
      <c r="W99" s="79"/>
      <c r="X99" s="46">
        <f t="shared" si="45"/>
        <v>1336</v>
      </c>
      <c r="Y99" s="76">
        <f t="shared" si="46"/>
        <v>10164</v>
      </c>
    </row>
    <row r="100" spans="1:25">
      <c r="A100" s="8">
        <v>94</v>
      </c>
      <c r="B100" s="38">
        <v>101572068666</v>
      </c>
      <c r="C100" s="37">
        <v>6724973124</v>
      </c>
      <c r="D100" s="37" t="s">
        <v>43</v>
      </c>
      <c r="E100" s="88" t="s">
        <v>313</v>
      </c>
      <c r="F100" s="34" t="s">
        <v>314</v>
      </c>
      <c r="G100" s="36" t="s">
        <v>315</v>
      </c>
      <c r="H100" s="4">
        <v>1265</v>
      </c>
      <c r="I100" s="12">
        <v>30</v>
      </c>
      <c r="J100" s="8">
        <v>13580</v>
      </c>
      <c r="K100" s="8">
        <v>4420</v>
      </c>
      <c r="L100" s="8">
        <v>0</v>
      </c>
      <c r="M100" s="30">
        <f t="shared" si="51"/>
        <v>18000</v>
      </c>
      <c r="N100" s="8">
        <f t="shared" si="52"/>
        <v>18000</v>
      </c>
      <c r="O100" s="6">
        <f t="shared" si="35"/>
        <v>13580</v>
      </c>
      <c r="P100" s="6">
        <f t="shared" si="36"/>
        <v>4420</v>
      </c>
      <c r="Q100" s="6">
        <f t="shared" si="37"/>
        <v>0</v>
      </c>
      <c r="R100" s="8"/>
      <c r="S100" s="16">
        <f t="shared" si="38"/>
        <v>18000</v>
      </c>
      <c r="T100" s="8">
        <f t="shared" si="53"/>
        <v>1630</v>
      </c>
      <c r="U100" s="6">
        <f t="shared" si="54"/>
        <v>135</v>
      </c>
      <c r="V100" s="54"/>
      <c r="W100" s="55"/>
      <c r="X100" s="6">
        <f t="shared" si="45"/>
        <v>1765</v>
      </c>
      <c r="Y100" s="16">
        <f t="shared" si="46"/>
        <v>16235</v>
      </c>
    </row>
    <row r="101" spans="1:25">
      <c r="A101" s="8">
        <v>95</v>
      </c>
      <c r="B101" s="38">
        <v>102266370139</v>
      </c>
      <c r="C101" s="37" t="s">
        <v>30</v>
      </c>
      <c r="D101" s="37"/>
      <c r="E101" s="83" t="s">
        <v>316</v>
      </c>
      <c r="F101" s="34" t="s">
        <v>317</v>
      </c>
      <c r="G101" s="36" t="s">
        <v>318</v>
      </c>
      <c r="H101" s="4">
        <v>1291</v>
      </c>
      <c r="I101" s="12">
        <v>30</v>
      </c>
      <c r="J101" s="8">
        <v>13580</v>
      </c>
      <c r="K101" s="8">
        <v>10000</v>
      </c>
      <c r="L101" s="8">
        <v>1420</v>
      </c>
      <c r="M101" s="30">
        <f t="shared" ref="M101:M106" si="55">J101+K101+L101</f>
        <v>25000</v>
      </c>
      <c r="N101" s="8">
        <f t="shared" ref="N101:N106" si="56">M101</f>
        <v>25000</v>
      </c>
      <c r="O101" s="6">
        <f t="shared" si="35"/>
        <v>13580</v>
      </c>
      <c r="P101" s="6">
        <f t="shared" si="36"/>
        <v>10000</v>
      </c>
      <c r="Q101" s="6">
        <f t="shared" si="37"/>
        <v>1420</v>
      </c>
      <c r="R101" s="8"/>
      <c r="S101" s="16">
        <f t="shared" ref="S101:S106" si="57">O101+P101+Q101</f>
        <v>25000</v>
      </c>
      <c r="T101" s="8">
        <f t="shared" si="53"/>
        <v>1630</v>
      </c>
      <c r="U101" s="53">
        <v>0</v>
      </c>
      <c r="V101" s="54"/>
      <c r="W101" s="55"/>
      <c r="X101" s="6">
        <f t="shared" si="45"/>
        <v>1630</v>
      </c>
      <c r="Y101" s="16">
        <f t="shared" si="46"/>
        <v>23370</v>
      </c>
    </row>
    <row r="102" spans="1:25">
      <c r="A102" s="8">
        <v>96</v>
      </c>
      <c r="B102" s="38">
        <v>101357756013</v>
      </c>
      <c r="C102" s="37">
        <v>6725178397</v>
      </c>
      <c r="D102" s="37" t="s">
        <v>43</v>
      </c>
      <c r="E102" s="88" t="s">
        <v>319</v>
      </c>
      <c r="F102" s="34" t="s">
        <v>320</v>
      </c>
      <c r="G102" s="36" t="s">
        <v>321</v>
      </c>
      <c r="H102" s="4">
        <v>1266</v>
      </c>
      <c r="I102" s="12">
        <v>30</v>
      </c>
      <c r="J102" s="8">
        <v>13580</v>
      </c>
      <c r="K102" s="8">
        <v>6420</v>
      </c>
      <c r="L102" s="8">
        <v>0</v>
      </c>
      <c r="M102" s="30">
        <f t="shared" si="55"/>
        <v>20000</v>
      </c>
      <c r="N102" s="8">
        <f t="shared" si="56"/>
        <v>20000</v>
      </c>
      <c r="O102" s="6">
        <f t="shared" si="35"/>
        <v>13580</v>
      </c>
      <c r="P102" s="6">
        <f t="shared" si="36"/>
        <v>6420</v>
      </c>
      <c r="Q102" s="6">
        <f t="shared" si="37"/>
        <v>0</v>
      </c>
      <c r="R102" s="8"/>
      <c r="S102" s="16">
        <f t="shared" si="57"/>
        <v>20000</v>
      </c>
      <c r="T102" s="8">
        <f t="shared" si="53"/>
        <v>1630</v>
      </c>
      <c r="U102" s="6">
        <f t="shared" ref="U102" si="58">ROUNDUP(S102*0.75/100,0)</f>
        <v>150</v>
      </c>
      <c r="V102" s="54"/>
      <c r="W102" s="55"/>
      <c r="X102" s="6">
        <f t="shared" si="45"/>
        <v>1780</v>
      </c>
      <c r="Y102" s="16">
        <f t="shared" si="46"/>
        <v>18220</v>
      </c>
    </row>
    <row r="103" spans="1:25">
      <c r="A103" s="8">
        <v>97</v>
      </c>
      <c r="B103" s="38">
        <v>102262923420</v>
      </c>
      <c r="C103" s="37">
        <v>6725178396</v>
      </c>
      <c r="D103" s="37" t="s">
        <v>43</v>
      </c>
      <c r="E103" s="88" t="s">
        <v>322</v>
      </c>
      <c r="F103" s="34" t="s">
        <v>323</v>
      </c>
      <c r="G103" s="36" t="s">
        <v>324</v>
      </c>
      <c r="H103" s="4">
        <v>1267</v>
      </c>
      <c r="I103" s="12">
        <v>30</v>
      </c>
      <c r="J103" s="8">
        <v>13580</v>
      </c>
      <c r="K103" s="8">
        <v>9600</v>
      </c>
      <c r="L103" s="8">
        <v>820</v>
      </c>
      <c r="M103" s="30">
        <f t="shared" si="55"/>
        <v>24000</v>
      </c>
      <c r="N103" s="8">
        <f t="shared" si="56"/>
        <v>24000</v>
      </c>
      <c r="O103" s="6">
        <f t="shared" si="35"/>
        <v>13580</v>
      </c>
      <c r="P103" s="6">
        <f t="shared" si="36"/>
        <v>9600</v>
      </c>
      <c r="Q103" s="6">
        <f t="shared" si="37"/>
        <v>820</v>
      </c>
      <c r="R103" s="8"/>
      <c r="S103" s="16">
        <f t="shared" si="57"/>
        <v>24000</v>
      </c>
      <c r="T103" s="8">
        <f t="shared" si="53"/>
        <v>1630</v>
      </c>
      <c r="U103" s="51">
        <v>0</v>
      </c>
      <c r="V103" s="54"/>
      <c r="W103" s="55"/>
      <c r="X103" s="6">
        <f t="shared" si="45"/>
        <v>1630</v>
      </c>
      <c r="Y103" s="16">
        <f t="shared" si="46"/>
        <v>22370</v>
      </c>
    </row>
    <row r="104" spans="1:25" s="80" customFormat="1">
      <c r="A104" s="8">
        <v>98</v>
      </c>
      <c r="B104" s="70">
        <v>101671534468</v>
      </c>
      <c r="C104" s="71" t="s">
        <v>30</v>
      </c>
      <c r="D104" s="71" t="s">
        <v>43</v>
      </c>
      <c r="E104" s="85" t="s">
        <v>325</v>
      </c>
      <c r="F104" s="72" t="s">
        <v>326</v>
      </c>
      <c r="G104" s="73" t="s">
        <v>327</v>
      </c>
      <c r="H104" s="74">
        <v>1285</v>
      </c>
      <c r="I104" s="75">
        <v>14</v>
      </c>
      <c r="J104" s="44">
        <v>13580</v>
      </c>
      <c r="K104" s="44">
        <v>9200</v>
      </c>
      <c r="L104" s="44">
        <v>220</v>
      </c>
      <c r="M104" s="45">
        <f t="shared" si="55"/>
        <v>23000</v>
      </c>
      <c r="N104" s="44">
        <f t="shared" si="56"/>
        <v>23000</v>
      </c>
      <c r="O104" s="46">
        <f t="shared" si="35"/>
        <v>6337</v>
      </c>
      <c r="P104" s="46">
        <f t="shared" si="36"/>
        <v>4293</v>
      </c>
      <c r="Q104" s="46">
        <f t="shared" si="37"/>
        <v>103</v>
      </c>
      <c r="R104" s="44"/>
      <c r="S104" s="76">
        <f t="shared" si="57"/>
        <v>10733</v>
      </c>
      <c r="T104" s="44">
        <f t="shared" si="53"/>
        <v>760</v>
      </c>
      <c r="U104" s="77">
        <v>0</v>
      </c>
      <c r="V104" s="78"/>
      <c r="W104" s="79"/>
      <c r="X104" s="46">
        <f t="shared" si="45"/>
        <v>760</v>
      </c>
      <c r="Y104" s="76">
        <f t="shared" si="46"/>
        <v>9973</v>
      </c>
    </row>
    <row r="105" spans="1:25" s="80" customFormat="1">
      <c r="A105" s="8">
        <v>99</v>
      </c>
      <c r="B105" s="70">
        <v>102224494907</v>
      </c>
      <c r="C105" s="71">
        <v>6725211294</v>
      </c>
      <c r="D105" s="71" t="s">
        <v>43</v>
      </c>
      <c r="E105" s="85" t="s">
        <v>328</v>
      </c>
      <c r="F105" s="72" t="s">
        <v>329</v>
      </c>
      <c r="G105" s="73" t="s">
        <v>330</v>
      </c>
      <c r="H105" s="74">
        <v>1317</v>
      </c>
      <c r="I105" s="75">
        <v>8</v>
      </c>
      <c r="J105" s="44">
        <v>13580</v>
      </c>
      <c r="K105" s="44">
        <v>1420</v>
      </c>
      <c r="L105" s="44">
        <v>0</v>
      </c>
      <c r="M105" s="45">
        <f t="shared" si="55"/>
        <v>15000</v>
      </c>
      <c r="N105" s="44">
        <f t="shared" si="56"/>
        <v>15000</v>
      </c>
      <c r="O105" s="46">
        <f t="shared" si="35"/>
        <v>3621</v>
      </c>
      <c r="P105" s="46">
        <f t="shared" si="36"/>
        <v>379</v>
      </c>
      <c r="Q105" s="46">
        <f t="shared" si="37"/>
        <v>0</v>
      </c>
      <c r="R105" s="44"/>
      <c r="S105" s="76">
        <f t="shared" si="57"/>
        <v>4000</v>
      </c>
      <c r="T105" s="44">
        <f t="shared" si="53"/>
        <v>435</v>
      </c>
      <c r="U105" s="46">
        <f t="shared" ref="U105:U106" si="59">ROUNDUP(S105*0.75/100,0)</f>
        <v>30</v>
      </c>
      <c r="V105" s="78"/>
      <c r="W105" s="79"/>
      <c r="X105" s="46">
        <f t="shared" si="45"/>
        <v>465</v>
      </c>
      <c r="Y105" s="76">
        <f t="shared" si="46"/>
        <v>3535</v>
      </c>
    </row>
    <row r="106" spans="1:25">
      <c r="A106" s="8">
        <v>100</v>
      </c>
      <c r="B106" s="38">
        <v>102167826122</v>
      </c>
      <c r="C106" s="37">
        <v>6724051762</v>
      </c>
      <c r="D106" s="37" t="s">
        <v>43</v>
      </c>
      <c r="E106" s="88" t="s">
        <v>331</v>
      </c>
      <c r="F106" s="34" t="s">
        <v>332</v>
      </c>
      <c r="G106" s="36" t="s">
        <v>333</v>
      </c>
      <c r="H106" s="4">
        <v>1320</v>
      </c>
      <c r="I106" s="12">
        <v>30</v>
      </c>
      <c r="J106" s="8">
        <v>13580</v>
      </c>
      <c r="K106" s="8">
        <v>6420</v>
      </c>
      <c r="L106" s="8">
        <v>0</v>
      </c>
      <c r="M106" s="30">
        <f t="shared" si="55"/>
        <v>20000</v>
      </c>
      <c r="N106" s="8">
        <f t="shared" si="56"/>
        <v>20000</v>
      </c>
      <c r="O106" s="6">
        <f t="shared" si="35"/>
        <v>13580</v>
      </c>
      <c r="P106" s="6">
        <f t="shared" si="36"/>
        <v>6420</v>
      </c>
      <c r="Q106" s="6">
        <f t="shared" si="37"/>
        <v>0</v>
      </c>
      <c r="R106" s="8"/>
      <c r="S106" s="16">
        <f t="shared" si="57"/>
        <v>20000</v>
      </c>
      <c r="T106" s="8">
        <f t="shared" si="53"/>
        <v>1630</v>
      </c>
      <c r="U106" s="6">
        <f t="shared" si="59"/>
        <v>150</v>
      </c>
      <c r="V106" s="54"/>
      <c r="W106" s="55"/>
      <c r="X106" s="6">
        <f t="shared" si="45"/>
        <v>1780</v>
      </c>
      <c r="Y106" s="16">
        <f t="shared" si="46"/>
        <v>18220</v>
      </c>
    </row>
    <row r="107" spans="1:25" ht="14.1" customHeight="1">
      <c r="A107" s="8">
        <v>101</v>
      </c>
      <c r="B107" s="38">
        <v>102273738940</v>
      </c>
      <c r="C107" s="37">
        <v>6725283644</v>
      </c>
      <c r="D107" s="37"/>
      <c r="E107" s="83" t="s">
        <v>334</v>
      </c>
      <c r="F107" s="34" t="s">
        <v>335</v>
      </c>
      <c r="G107" s="36" t="s">
        <v>336</v>
      </c>
      <c r="H107" s="4">
        <v>1406</v>
      </c>
      <c r="I107" s="12">
        <v>30</v>
      </c>
      <c r="J107" s="8">
        <v>13580</v>
      </c>
      <c r="K107" s="8">
        <v>4420</v>
      </c>
      <c r="L107" s="8">
        <v>0</v>
      </c>
      <c r="M107" s="30">
        <f t="shared" ref="M107:M114" si="60">J107+K107+L107</f>
        <v>18000</v>
      </c>
      <c r="N107" s="8">
        <f t="shared" ref="N107:N114" si="61">M107</f>
        <v>18000</v>
      </c>
      <c r="O107" s="6">
        <f t="shared" si="35"/>
        <v>13580</v>
      </c>
      <c r="P107" s="6">
        <f t="shared" si="36"/>
        <v>4420</v>
      </c>
      <c r="Q107" s="6">
        <f t="shared" si="37"/>
        <v>0</v>
      </c>
      <c r="R107" s="8"/>
      <c r="S107" s="16">
        <f t="shared" ref="S107:S116" si="62">O107+P107+Q107</f>
        <v>18000</v>
      </c>
      <c r="T107" s="8">
        <f t="shared" si="53"/>
        <v>1630</v>
      </c>
      <c r="U107" s="6">
        <f t="shared" ref="U107:U116" si="63">ROUNDUP(S107*0.75/100,0)</f>
        <v>135</v>
      </c>
      <c r="V107" s="54"/>
      <c r="W107" s="55"/>
      <c r="X107" s="6">
        <f t="shared" ref="X107:X116" si="64">T107+U107+V107+W107</f>
        <v>1765</v>
      </c>
      <c r="Y107" s="16">
        <f t="shared" ref="Y107:Y116" si="65">S107-X107</f>
        <v>16235</v>
      </c>
    </row>
    <row r="108" spans="1:25" ht="14.1" customHeight="1">
      <c r="A108" s="8">
        <v>102</v>
      </c>
      <c r="B108" s="38">
        <v>102273737016</v>
      </c>
      <c r="C108" s="37">
        <v>6725283683</v>
      </c>
      <c r="D108" s="37"/>
      <c r="E108" s="83" t="s">
        <v>337</v>
      </c>
      <c r="F108" s="34" t="s">
        <v>338</v>
      </c>
      <c r="G108" s="36" t="s">
        <v>339</v>
      </c>
      <c r="H108" s="4">
        <v>1407</v>
      </c>
      <c r="I108" s="12">
        <v>30</v>
      </c>
      <c r="J108" s="8">
        <v>13580</v>
      </c>
      <c r="K108" s="8">
        <v>3420</v>
      </c>
      <c r="L108" s="8">
        <v>0</v>
      </c>
      <c r="M108" s="30">
        <f t="shared" si="60"/>
        <v>17000</v>
      </c>
      <c r="N108" s="8">
        <f t="shared" si="61"/>
        <v>17000</v>
      </c>
      <c r="O108" s="6">
        <f t="shared" si="35"/>
        <v>13580</v>
      </c>
      <c r="P108" s="6">
        <f t="shared" si="36"/>
        <v>3420</v>
      </c>
      <c r="Q108" s="6">
        <f t="shared" si="37"/>
        <v>0</v>
      </c>
      <c r="R108" s="8"/>
      <c r="S108" s="16">
        <f t="shared" si="62"/>
        <v>17000</v>
      </c>
      <c r="T108" s="8">
        <f t="shared" si="53"/>
        <v>1630</v>
      </c>
      <c r="U108" s="6">
        <f t="shared" si="63"/>
        <v>128</v>
      </c>
      <c r="V108" s="54"/>
      <c r="W108" s="55"/>
      <c r="X108" s="6">
        <f t="shared" si="64"/>
        <v>1758</v>
      </c>
      <c r="Y108" s="16">
        <f t="shared" si="65"/>
        <v>15242</v>
      </c>
    </row>
    <row r="109" spans="1:25" s="80" customFormat="1" ht="14.1" customHeight="1">
      <c r="A109" s="8">
        <v>103</v>
      </c>
      <c r="B109" s="70">
        <v>102273738513</v>
      </c>
      <c r="C109" s="71">
        <v>6725283691</v>
      </c>
      <c r="D109" s="71"/>
      <c r="E109" s="85" t="s">
        <v>340</v>
      </c>
      <c r="F109" s="72" t="s">
        <v>341</v>
      </c>
      <c r="G109" s="73" t="s">
        <v>342</v>
      </c>
      <c r="H109" s="74">
        <v>1423</v>
      </c>
      <c r="I109" s="75">
        <v>5</v>
      </c>
      <c r="J109" s="44">
        <v>13580</v>
      </c>
      <c r="K109" s="44">
        <v>6420</v>
      </c>
      <c r="L109" s="44">
        <v>0</v>
      </c>
      <c r="M109" s="45">
        <f t="shared" si="60"/>
        <v>20000</v>
      </c>
      <c r="N109" s="44">
        <f t="shared" si="61"/>
        <v>20000</v>
      </c>
      <c r="O109" s="46">
        <f t="shared" si="35"/>
        <v>2263</v>
      </c>
      <c r="P109" s="46">
        <f t="shared" si="36"/>
        <v>1070</v>
      </c>
      <c r="Q109" s="46">
        <f t="shared" si="37"/>
        <v>0</v>
      </c>
      <c r="R109" s="44"/>
      <c r="S109" s="76">
        <f t="shared" si="62"/>
        <v>3333</v>
      </c>
      <c r="T109" s="44">
        <f t="shared" si="53"/>
        <v>272</v>
      </c>
      <c r="U109" s="46">
        <f t="shared" si="63"/>
        <v>25</v>
      </c>
      <c r="V109" s="78"/>
      <c r="W109" s="79"/>
      <c r="X109" s="46">
        <f t="shared" si="64"/>
        <v>297</v>
      </c>
      <c r="Y109" s="76">
        <f t="shared" si="65"/>
        <v>3036</v>
      </c>
    </row>
    <row r="110" spans="1:25" ht="14.1" customHeight="1">
      <c r="A110" s="8">
        <v>104</v>
      </c>
      <c r="B110" s="38">
        <v>102273952784</v>
      </c>
      <c r="C110" s="37">
        <v>6725283695</v>
      </c>
      <c r="D110" s="37"/>
      <c r="E110" s="83" t="s">
        <v>343</v>
      </c>
      <c r="F110" s="34" t="s">
        <v>344</v>
      </c>
      <c r="G110" s="36" t="s">
        <v>345</v>
      </c>
      <c r="H110" s="4">
        <v>1404</v>
      </c>
      <c r="I110" s="12">
        <v>30</v>
      </c>
      <c r="J110" s="8">
        <v>13580</v>
      </c>
      <c r="K110" s="8">
        <v>5420</v>
      </c>
      <c r="L110" s="8">
        <v>0</v>
      </c>
      <c r="M110" s="30">
        <f t="shared" si="60"/>
        <v>19000</v>
      </c>
      <c r="N110" s="8">
        <f t="shared" si="61"/>
        <v>19000</v>
      </c>
      <c r="O110" s="6">
        <f t="shared" si="35"/>
        <v>13580</v>
      </c>
      <c r="P110" s="6">
        <f t="shared" si="36"/>
        <v>5420</v>
      </c>
      <c r="Q110" s="6">
        <f t="shared" si="37"/>
        <v>0</v>
      </c>
      <c r="R110" s="8"/>
      <c r="S110" s="16">
        <f t="shared" si="62"/>
        <v>19000</v>
      </c>
      <c r="T110" s="8">
        <f t="shared" si="53"/>
        <v>1630</v>
      </c>
      <c r="U110" s="6">
        <f t="shared" si="63"/>
        <v>143</v>
      </c>
      <c r="V110" s="54"/>
      <c r="W110" s="55"/>
      <c r="X110" s="6">
        <f t="shared" si="64"/>
        <v>1773</v>
      </c>
      <c r="Y110" s="16">
        <f t="shared" si="65"/>
        <v>17227</v>
      </c>
    </row>
    <row r="111" spans="1:25" ht="14.1" customHeight="1">
      <c r="A111" s="8">
        <v>105</v>
      </c>
      <c r="B111" s="38">
        <v>102273738453</v>
      </c>
      <c r="C111" s="37">
        <v>6725283724</v>
      </c>
      <c r="D111" s="37"/>
      <c r="E111" s="83" t="s">
        <v>346</v>
      </c>
      <c r="F111" s="34" t="s">
        <v>347</v>
      </c>
      <c r="G111" s="36" t="s">
        <v>348</v>
      </c>
      <c r="H111" s="4">
        <v>1413</v>
      </c>
      <c r="I111" s="12">
        <v>30</v>
      </c>
      <c r="J111" s="8">
        <v>13580</v>
      </c>
      <c r="K111" s="8">
        <v>6420</v>
      </c>
      <c r="L111" s="8">
        <v>0</v>
      </c>
      <c r="M111" s="30">
        <f t="shared" si="60"/>
        <v>20000</v>
      </c>
      <c r="N111" s="8">
        <f t="shared" si="61"/>
        <v>20000</v>
      </c>
      <c r="O111" s="6">
        <f t="shared" si="35"/>
        <v>13580</v>
      </c>
      <c r="P111" s="6">
        <f t="shared" si="36"/>
        <v>6420</v>
      </c>
      <c r="Q111" s="6">
        <f t="shared" si="37"/>
        <v>0</v>
      </c>
      <c r="R111" s="8"/>
      <c r="S111" s="16">
        <f t="shared" si="62"/>
        <v>20000</v>
      </c>
      <c r="T111" s="8">
        <f t="shared" si="53"/>
        <v>1630</v>
      </c>
      <c r="U111" s="6">
        <f t="shared" si="63"/>
        <v>150</v>
      </c>
      <c r="V111" s="54"/>
      <c r="W111" s="55"/>
      <c r="X111" s="6">
        <f t="shared" si="64"/>
        <v>1780</v>
      </c>
      <c r="Y111" s="16">
        <f t="shared" si="65"/>
        <v>18220</v>
      </c>
    </row>
    <row r="112" spans="1:25" ht="13.5" customHeight="1">
      <c r="A112" s="8">
        <v>106</v>
      </c>
      <c r="B112" s="38">
        <v>102127909320</v>
      </c>
      <c r="C112" s="37" t="s">
        <v>30</v>
      </c>
      <c r="D112" s="37"/>
      <c r="E112" s="83" t="s">
        <v>349</v>
      </c>
      <c r="F112" s="34" t="s">
        <v>350</v>
      </c>
      <c r="G112" s="36" t="s">
        <v>351</v>
      </c>
      <c r="H112" s="4">
        <v>1394</v>
      </c>
      <c r="I112" s="12">
        <v>30</v>
      </c>
      <c r="J112" s="8">
        <v>13580</v>
      </c>
      <c r="K112" s="8">
        <v>9200</v>
      </c>
      <c r="L112" s="8">
        <v>220</v>
      </c>
      <c r="M112" s="30">
        <f t="shared" si="60"/>
        <v>23000</v>
      </c>
      <c r="N112" s="8">
        <f t="shared" si="61"/>
        <v>23000</v>
      </c>
      <c r="O112" s="6">
        <f t="shared" si="35"/>
        <v>13580</v>
      </c>
      <c r="P112" s="6">
        <f t="shared" si="36"/>
        <v>9200</v>
      </c>
      <c r="Q112" s="6">
        <f t="shared" si="37"/>
        <v>220</v>
      </c>
      <c r="R112" s="8"/>
      <c r="S112" s="16">
        <f t="shared" si="62"/>
        <v>23000</v>
      </c>
      <c r="T112" s="8">
        <f t="shared" si="53"/>
        <v>1630</v>
      </c>
      <c r="U112" s="53">
        <v>0</v>
      </c>
      <c r="V112" s="54"/>
      <c r="W112" s="55"/>
      <c r="X112" s="6">
        <f t="shared" si="64"/>
        <v>1630</v>
      </c>
      <c r="Y112" s="16">
        <f t="shared" si="65"/>
        <v>21370</v>
      </c>
    </row>
    <row r="113" spans="1:25" ht="14.1" customHeight="1">
      <c r="A113" s="8">
        <v>107</v>
      </c>
      <c r="B113" s="38">
        <v>102245599131</v>
      </c>
      <c r="C113" s="37" t="s">
        <v>30</v>
      </c>
      <c r="D113" s="37"/>
      <c r="E113" s="83" t="s">
        <v>352</v>
      </c>
      <c r="F113" s="34" t="s">
        <v>353</v>
      </c>
      <c r="G113" s="36" t="s">
        <v>354</v>
      </c>
      <c r="H113" s="4">
        <v>1383</v>
      </c>
      <c r="I113" s="12">
        <v>30</v>
      </c>
      <c r="J113" s="8">
        <v>14000</v>
      </c>
      <c r="K113" s="8">
        <v>11200</v>
      </c>
      <c r="L113" s="8">
        <v>2800</v>
      </c>
      <c r="M113" s="30">
        <f t="shared" si="60"/>
        <v>28000</v>
      </c>
      <c r="N113" s="8">
        <f t="shared" si="61"/>
        <v>28000</v>
      </c>
      <c r="O113" s="6">
        <f t="shared" ref="O113:O144" si="66">ROUND(J113/$AA$3*I113,0)</f>
        <v>14000</v>
      </c>
      <c r="P113" s="6">
        <f t="shared" ref="P113:P144" si="67">ROUND(K113/$AA$3*I113,0)</f>
        <v>11200</v>
      </c>
      <c r="Q113" s="6">
        <f t="shared" ref="Q113:Q144" si="68">ROUND(L113/$AA$3*I113,0)</f>
        <v>2800</v>
      </c>
      <c r="R113" s="8"/>
      <c r="S113" s="16">
        <f t="shared" si="62"/>
        <v>28000</v>
      </c>
      <c r="T113" s="8">
        <f t="shared" si="53"/>
        <v>1680</v>
      </c>
      <c r="U113" s="53">
        <v>0</v>
      </c>
      <c r="V113" s="54"/>
      <c r="W113" s="55"/>
      <c r="X113" s="6">
        <f t="shared" si="64"/>
        <v>1680</v>
      </c>
      <c r="Y113" s="16">
        <f t="shared" si="65"/>
        <v>26320</v>
      </c>
    </row>
    <row r="114" spans="1:25" ht="14.1" customHeight="1">
      <c r="A114" s="8">
        <v>108</v>
      </c>
      <c r="B114" s="38">
        <v>102281424058</v>
      </c>
      <c r="C114" s="37">
        <v>6725330005</v>
      </c>
      <c r="D114" s="37"/>
      <c r="E114" s="83" t="s">
        <v>355</v>
      </c>
      <c r="F114" s="34" t="s">
        <v>356</v>
      </c>
      <c r="G114" s="36" t="s">
        <v>357</v>
      </c>
      <c r="H114" s="4">
        <v>1485</v>
      </c>
      <c r="I114" s="12">
        <v>28.5</v>
      </c>
      <c r="J114" s="8">
        <v>13580</v>
      </c>
      <c r="K114" s="8">
        <v>6420</v>
      </c>
      <c r="L114" s="8">
        <v>0</v>
      </c>
      <c r="M114" s="30">
        <f t="shared" si="60"/>
        <v>20000</v>
      </c>
      <c r="N114" s="8">
        <f t="shared" si="61"/>
        <v>20000</v>
      </c>
      <c r="O114" s="6">
        <f t="shared" si="66"/>
        <v>12901</v>
      </c>
      <c r="P114" s="6">
        <f t="shared" si="67"/>
        <v>6099</v>
      </c>
      <c r="Q114" s="6">
        <f t="shared" si="68"/>
        <v>0</v>
      </c>
      <c r="R114" s="8"/>
      <c r="S114" s="16">
        <f t="shared" si="62"/>
        <v>19000</v>
      </c>
      <c r="T114" s="8">
        <f t="shared" si="53"/>
        <v>1548</v>
      </c>
      <c r="U114" s="6">
        <f t="shared" si="63"/>
        <v>143</v>
      </c>
      <c r="V114" s="54"/>
      <c r="W114" s="55"/>
      <c r="X114" s="6">
        <f t="shared" si="64"/>
        <v>1691</v>
      </c>
      <c r="Y114" s="16">
        <f t="shared" si="65"/>
        <v>17309</v>
      </c>
    </row>
    <row r="115" spans="1:25" s="80" customFormat="1" ht="14.1" customHeight="1">
      <c r="A115" s="8">
        <v>109</v>
      </c>
      <c r="B115" s="70">
        <v>102281424138</v>
      </c>
      <c r="C115" s="71">
        <v>6725330046</v>
      </c>
      <c r="D115" s="71"/>
      <c r="E115" s="85" t="s">
        <v>358</v>
      </c>
      <c r="F115" s="72" t="s">
        <v>359</v>
      </c>
      <c r="G115" s="73" t="s">
        <v>360</v>
      </c>
      <c r="H115" s="74">
        <v>1523</v>
      </c>
      <c r="I115" s="75">
        <v>13.5</v>
      </c>
      <c r="J115" s="44">
        <v>13580</v>
      </c>
      <c r="K115" s="44">
        <v>6420</v>
      </c>
      <c r="L115" s="44">
        <v>0</v>
      </c>
      <c r="M115" s="45">
        <f t="shared" ref="M115:M125" si="69">J115+K115+L115</f>
        <v>20000</v>
      </c>
      <c r="N115" s="44">
        <f t="shared" ref="N115:N125" si="70">M115</f>
        <v>20000</v>
      </c>
      <c r="O115" s="46">
        <f t="shared" si="66"/>
        <v>6111</v>
      </c>
      <c r="P115" s="46">
        <f t="shared" si="67"/>
        <v>2889</v>
      </c>
      <c r="Q115" s="46">
        <f t="shared" si="68"/>
        <v>0</v>
      </c>
      <c r="R115" s="44"/>
      <c r="S115" s="76">
        <f t="shared" si="62"/>
        <v>9000</v>
      </c>
      <c r="T115" s="44">
        <f t="shared" si="53"/>
        <v>733</v>
      </c>
      <c r="U115" s="46">
        <f t="shared" si="63"/>
        <v>68</v>
      </c>
      <c r="V115" s="78"/>
      <c r="W115" s="79"/>
      <c r="X115" s="46">
        <f t="shared" si="64"/>
        <v>801</v>
      </c>
      <c r="Y115" s="76">
        <f t="shared" si="65"/>
        <v>8199</v>
      </c>
    </row>
    <row r="116" spans="1:25" s="80" customFormat="1" ht="14.1" customHeight="1">
      <c r="A116" s="8">
        <v>110</v>
      </c>
      <c r="B116" s="70">
        <v>102219388774</v>
      </c>
      <c r="C116" s="71">
        <v>6725330050</v>
      </c>
      <c r="D116" s="71"/>
      <c r="E116" s="85" t="s">
        <v>361</v>
      </c>
      <c r="F116" s="72" t="s">
        <v>362</v>
      </c>
      <c r="G116" s="73" t="s">
        <v>363</v>
      </c>
      <c r="H116" s="74">
        <v>1483</v>
      </c>
      <c r="I116" s="75">
        <v>8</v>
      </c>
      <c r="J116" s="44">
        <v>13580</v>
      </c>
      <c r="K116" s="44">
        <v>6420</v>
      </c>
      <c r="L116" s="44">
        <v>0</v>
      </c>
      <c r="M116" s="45">
        <f t="shared" si="69"/>
        <v>20000</v>
      </c>
      <c r="N116" s="44">
        <f t="shared" si="70"/>
        <v>20000</v>
      </c>
      <c r="O116" s="46">
        <f t="shared" si="66"/>
        <v>3621</v>
      </c>
      <c r="P116" s="46">
        <f t="shared" si="67"/>
        <v>1712</v>
      </c>
      <c r="Q116" s="46">
        <f t="shared" si="68"/>
        <v>0</v>
      </c>
      <c r="R116" s="44"/>
      <c r="S116" s="76">
        <f t="shared" si="62"/>
        <v>5333</v>
      </c>
      <c r="T116" s="44">
        <f t="shared" si="53"/>
        <v>435</v>
      </c>
      <c r="U116" s="46">
        <f t="shared" si="63"/>
        <v>40</v>
      </c>
      <c r="V116" s="78"/>
      <c r="W116" s="79"/>
      <c r="X116" s="46">
        <f t="shared" si="64"/>
        <v>475</v>
      </c>
      <c r="Y116" s="76">
        <f t="shared" si="65"/>
        <v>4858</v>
      </c>
    </row>
    <row r="117" spans="1:25" ht="14.1" customHeight="1">
      <c r="A117" s="8">
        <v>111</v>
      </c>
      <c r="B117" s="38">
        <v>101979915848</v>
      </c>
      <c r="C117" s="37">
        <v>6723969370</v>
      </c>
      <c r="D117" s="37" t="s">
        <v>43</v>
      </c>
      <c r="E117" s="88" t="s">
        <v>364</v>
      </c>
      <c r="F117" s="34" t="s">
        <v>365</v>
      </c>
      <c r="G117" s="36" t="s">
        <v>366</v>
      </c>
      <c r="H117" s="4">
        <v>1392</v>
      </c>
      <c r="I117" s="12">
        <v>30</v>
      </c>
      <c r="J117" s="8">
        <v>13580</v>
      </c>
      <c r="K117" s="8">
        <v>4420</v>
      </c>
      <c r="L117" s="8">
        <v>0</v>
      </c>
      <c r="M117" s="30">
        <f t="shared" si="69"/>
        <v>18000</v>
      </c>
      <c r="N117" s="8">
        <f t="shared" si="70"/>
        <v>18000</v>
      </c>
      <c r="O117" s="6">
        <f t="shared" si="66"/>
        <v>13580</v>
      </c>
      <c r="P117" s="6">
        <f t="shared" si="67"/>
        <v>4420</v>
      </c>
      <c r="Q117" s="6">
        <f t="shared" si="68"/>
        <v>0</v>
      </c>
      <c r="R117" s="8"/>
      <c r="S117" s="16">
        <f t="shared" ref="S117:S119" si="71">O117+P117+Q117</f>
        <v>18000</v>
      </c>
      <c r="T117" s="8">
        <f t="shared" si="53"/>
        <v>1630</v>
      </c>
      <c r="U117" s="6">
        <f t="shared" ref="U117:U119" si="72">ROUNDUP(S117*0.75/100,0)</f>
        <v>135</v>
      </c>
      <c r="V117" s="54"/>
      <c r="W117" s="55"/>
      <c r="X117" s="6">
        <f t="shared" ref="X117:X119" si="73">T117+U117+V117+W117</f>
        <v>1765</v>
      </c>
      <c r="Y117" s="16">
        <f t="shared" ref="Y117:Y119" si="74">S117-X117</f>
        <v>16235</v>
      </c>
    </row>
    <row r="118" spans="1:25" ht="14.1" customHeight="1">
      <c r="A118" s="8">
        <v>112</v>
      </c>
      <c r="B118" s="38">
        <v>102280485682</v>
      </c>
      <c r="C118" s="37">
        <v>6725289782</v>
      </c>
      <c r="D118" s="37" t="s">
        <v>43</v>
      </c>
      <c r="E118" s="88" t="s">
        <v>367</v>
      </c>
      <c r="F118" s="34" t="s">
        <v>368</v>
      </c>
      <c r="G118" s="36" t="s">
        <v>369</v>
      </c>
      <c r="H118" s="4">
        <v>1393</v>
      </c>
      <c r="I118" s="12">
        <v>30</v>
      </c>
      <c r="J118" s="8">
        <v>13580</v>
      </c>
      <c r="K118" s="8">
        <v>4420</v>
      </c>
      <c r="L118" s="8">
        <v>0</v>
      </c>
      <c r="M118" s="30">
        <f t="shared" si="69"/>
        <v>18000</v>
      </c>
      <c r="N118" s="8">
        <f t="shared" si="70"/>
        <v>18000</v>
      </c>
      <c r="O118" s="6">
        <f t="shared" si="66"/>
        <v>13580</v>
      </c>
      <c r="P118" s="6">
        <f t="shared" si="67"/>
        <v>4420</v>
      </c>
      <c r="Q118" s="6">
        <f t="shared" si="68"/>
        <v>0</v>
      </c>
      <c r="R118" s="8"/>
      <c r="S118" s="16">
        <f t="shared" si="71"/>
        <v>18000</v>
      </c>
      <c r="T118" s="8">
        <f t="shared" si="53"/>
        <v>1630</v>
      </c>
      <c r="U118" s="6">
        <f t="shared" si="72"/>
        <v>135</v>
      </c>
      <c r="V118" s="54"/>
      <c r="W118" s="55"/>
      <c r="X118" s="6">
        <f t="shared" si="73"/>
        <v>1765</v>
      </c>
      <c r="Y118" s="16">
        <f t="shared" si="74"/>
        <v>16235</v>
      </c>
    </row>
    <row r="119" spans="1:25" ht="14.1" customHeight="1">
      <c r="A119" s="8">
        <v>113</v>
      </c>
      <c r="B119" s="38">
        <v>102284387390</v>
      </c>
      <c r="C119" s="37">
        <v>6725322609</v>
      </c>
      <c r="D119" s="37" t="s">
        <v>43</v>
      </c>
      <c r="E119" s="88" t="s">
        <v>370</v>
      </c>
      <c r="F119" s="34" t="s">
        <v>371</v>
      </c>
      <c r="G119" s="36" t="s">
        <v>100</v>
      </c>
      <c r="H119" s="4">
        <v>1402</v>
      </c>
      <c r="I119" s="12">
        <v>30</v>
      </c>
      <c r="J119" s="8">
        <v>13580</v>
      </c>
      <c r="K119" s="8">
        <v>4420</v>
      </c>
      <c r="L119" s="8">
        <v>0</v>
      </c>
      <c r="M119" s="30">
        <f t="shared" si="69"/>
        <v>18000</v>
      </c>
      <c r="N119" s="8">
        <f t="shared" si="70"/>
        <v>18000</v>
      </c>
      <c r="O119" s="6">
        <f t="shared" si="66"/>
        <v>13580</v>
      </c>
      <c r="P119" s="6">
        <f t="shared" si="67"/>
        <v>4420</v>
      </c>
      <c r="Q119" s="6">
        <f t="shared" si="68"/>
        <v>0</v>
      </c>
      <c r="R119" s="8"/>
      <c r="S119" s="16">
        <f t="shared" si="71"/>
        <v>18000</v>
      </c>
      <c r="T119" s="8">
        <f t="shared" si="53"/>
        <v>1630</v>
      </c>
      <c r="U119" s="6">
        <f t="shared" si="72"/>
        <v>135</v>
      </c>
      <c r="V119" s="54"/>
      <c r="W119" s="55"/>
      <c r="X119" s="6">
        <f t="shared" si="73"/>
        <v>1765</v>
      </c>
      <c r="Y119" s="16">
        <f t="shared" si="74"/>
        <v>16235</v>
      </c>
    </row>
    <row r="120" spans="1:25" ht="14.1" customHeight="1">
      <c r="A120" s="8">
        <v>114</v>
      </c>
      <c r="B120" s="38">
        <v>102292230604</v>
      </c>
      <c r="C120" s="37">
        <v>6725395815</v>
      </c>
      <c r="D120" s="37"/>
      <c r="E120" s="83" t="s">
        <v>372</v>
      </c>
      <c r="F120" s="34" t="s">
        <v>373</v>
      </c>
      <c r="G120" s="36" t="s">
        <v>374</v>
      </c>
      <c r="H120" s="4">
        <v>1633</v>
      </c>
      <c r="I120" s="12">
        <v>30</v>
      </c>
      <c r="J120" s="8">
        <v>13580</v>
      </c>
      <c r="K120" s="8">
        <v>6420</v>
      </c>
      <c r="L120" s="8">
        <v>0</v>
      </c>
      <c r="M120" s="30">
        <f t="shared" si="69"/>
        <v>20000</v>
      </c>
      <c r="N120" s="8">
        <f t="shared" si="70"/>
        <v>20000</v>
      </c>
      <c r="O120" s="6">
        <f t="shared" si="66"/>
        <v>13580</v>
      </c>
      <c r="P120" s="6">
        <f t="shared" si="67"/>
        <v>6420</v>
      </c>
      <c r="Q120" s="6">
        <f t="shared" si="68"/>
        <v>0</v>
      </c>
      <c r="R120" s="8"/>
      <c r="S120" s="16">
        <f t="shared" ref="S120:S125" si="75">O120+P120+Q120</f>
        <v>20000</v>
      </c>
      <c r="T120" s="8">
        <f t="shared" si="53"/>
        <v>1630</v>
      </c>
      <c r="U120" s="6">
        <f t="shared" ref="U120:U154" si="76">ROUNDUP(S120*0.75/100,0)</f>
        <v>150</v>
      </c>
      <c r="V120" s="54"/>
      <c r="W120" s="55"/>
      <c r="X120" s="6">
        <f t="shared" ref="X120:X125" si="77">T120+U120+V120+W120</f>
        <v>1780</v>
      </c>
      <c r="Y120" s="16">
        <f t="shared" ref="Y120:Y125" si="78">S120-X120</f>
        <v>18220</v>
      </c>
    </row>
    <row r="121" spans="1:25" ht="14.1" customHeight="1">
      <c r="A121" s="8">
        <v>115</v>
      </c>
      <c r="B121" s="38">
        <v>102292705416</v>
      </c>
      <c r="C121" s="37" t="s">
        <v>30</v>
      </c>
      <c r="D121" s="37"/>
      <c r="E121" s="83" t="s">
        <v>375</v>
      </c>
      <c r="F121" s="34" t="s">
        <v>376</v>
      </c>
      <c r="G121" s="36" t="s">
        <v>377</v>
      </c>
      <c r="H121" s="4">
        <v>1530</v>
      </c>
      <c r="I121" s="12">
        <v>29</v>
      </c>
      <c r="J121" s="8">
        <v>13580</v>
      </c>
      <c r="K121" s="8">
        <v>10000</v>
      </c>
      <c r="L121" s="8">
        <v>1420</v>
      </c>
      <c r="M121" s="30">
        <f t="shared" si="69"/>
        <v>25000</v>
      </c>
      <c r="N121" s="8">
        <f t="shared" si="70"/>
        <v>25000</v>
      </c>
      <c r="O121" s="6">
        <f t="shared" si="66"/>
        <v>13127</v>
      </c>
      <c r="P121" s="6">
        <f t="shared" si="67"/>
        <v>9667</v>
      </c>
      <c r="Q121" s="6">
        <f t="shared" si="68"/>
        <v>1373</v>
      </c>
      <c r="R121" s="8"/>
      <c r="S121" s="16">
        <f t="shared" si="75"/>
        <v>24167</v>
      </c>
      <c r="T121" s="8">
        <f t="shared" si="53"/>
        <v>1575</v>
      </c>
      <c r="U121" s="53">
        <v>0</v>
      </c>
      <c r="V121" s="54"/>
      <c r="W121" s="55"/>
      <c r="X121" s="6">
        <f t="shared" si="77"/>
        <v>1575</v>
      </c>
      <c r="Y121" s="16">
        <f t="shared" si="78"/>
        <v>22592</v>
      </c>
    </row>
    <row r="122" spans="1:25" ht="14.1" customHeight="1">
      <c r="A122" s="8">
        <v>116</v>
      </c>
      <c r="B122" s="38">
        <v>101315024432</v>
      </c>
      <c r="C122" s="37">
        <v>6725404066</v>
      </c>
      <c r="D122" s="37"/>
      <c r="E122" s="83" t="s">
        <v>378</v>
      </c>
      <c r="F122" s="34" t="s">
        <v>379</v>
      </c>
      <c r="G122" s="36" t="s">
        <v>380</v>
      </c>
      <c r="H122" s="61"/>
      <c r="I122" s="12">
        <v>30</v>
      </c>
      <c r="J122" s="8">
        <v>13000</v>
      </c>
      <c r="K122" s="8">
        <v>0</v>
      </c>
      <c r="L122" s="8">
        <v>0</v>
      </c>
      <c r="M122" s="30">
        <f t="shared" si="69"/>
        <v>13000</v>
      </c>
      <c r="N122" s="8">
        <f t="shared" si="70"/>
        <v>13000</v>
      </c>
      <c r="O122" s="6">
        <f t="shared" si="66"/>
        <v>13000</v>
      </c>
      <c r="P122" s="6">
        <f t="shared" si="67"/>
        <v>0</v>
      </c>
      <c r="Q122" s="6">
        <f t="shared" si="68"/>
        <v>0</v>
      </c>
      <c r="R122" s="8"/>
      <c r="S122" s="16">
        <f t="shared" si="75"/>
        <v>13000</v>
      </c>
      <c r="T122" s="8">
        <f t="shared" si="53"/>
        <v>1560</v>
      </c>
      <c r="U122" s="6">
        <f t="shared" si="76"/>
        <v>98</v>
      </c>
      <c r="V122" s="54"/>
      <c r="W122" s="55"/>
      <c r="X122" s="6">
        <f t="shared" si="77"/>
        <v>1658</v>
      </c>
      <c r="Y122" s="16">
        <f t="shared" si="78"/>
        <v>11342</v>
      </c>
    </row>
    <row r="123" spans="1:25" ht="14.1" customHeight="1">
      <c r="A123" s="8">
        <v>117</v>
      </c>
      <c r="B123" s="38">
        <v>102287171341</v>
      </c>
      <c r="C123" s="37">
        <v>6725353935</v>
      </c>
      <c r="D123" s="37" t="s">
        <v>43</v>
      </c>
      <c r="E123" s="83" t="s">
        <v>381</v>
      </c>
      <c r="F123" s="34" t="s">
        <v>382</v>
      </c>
      <c r="G123" s="36" t="s">
        <v>383</v>
      </c>
      <c r="H123" s="4">
        <v>1447</v>
      </c>
      <c r="I123" s="12">
        <v>23.5</v>
      </c>
      <c r="J123" s="8">
        <v>13580</v>
      </c>
      <c r="K123" s="8">
        <v>3420</v>
      </c>
      <c r="L123" s="8">
        <v>0</v>
      </c>
      <c r="M123" s="30">
        <f t="shared" si="69"/>
        <v>17000</v>
      </c>
      <c r="N123" s="8">
        <f t="shared" si="70"/>
        <v>17000</v>
      </c>
      <c r="O123" s="6">
        <f t="shared" si="66"/>
        <v>10638</v>
      </c>
      <c r="P123" s="6">
        <f t="shared" si="67"/>
        <v>2679</v>
      </c>
      <c r="Q123" s="6">
        <f t="shared" si="68"/>
        <v>0</v>
      </c>
      <c r="R123" s="8"/>
      <c r="S123" s="16">
        <f t="shared" si="75"/>
        <v>13317</v>
      </c>
      <c r="T123" s="8">
        <f t="shared" si="53"/>
        <v>1277</v>
      </c>
      <c r="U123" s="6">
        <f t="shared" si="76"/>
        <v>100</v>
      </c>
      <c r="V123" s="54"/>
      <c r="W123" s="55"/>
      <c r="X123" s="6">
        <f t="shared" si="77"/>
        <v>1377</v>
      </c>
      <c r="Y123" s="16">
        <f t="shared" si="78"/>
        <v>11940</v>
      </c>
    </row>
    <row r="124" spans="1:25" ht="14.1" customHeight="1">
      <c r="A124" s="8">
        <v>118</v>
      </c>
      <c r="B124" s="38">
        <v>102287174397</v>
      </c>
      <c r="C124" s="37">
        <v>6724527976</v>
      </c>
      <c r="D124" s="37" t="s">
        <v>43</v>
      </c>
      <c r="E124" s="83" t="s">
        <v>384</v>
      </c>
      <c r="F124" s="34" t="s">
        <v>385</v>
      </c>
      <c r="G124" s="36" t="s">
        <v>386</v>
      </c>
      <c r="H124" s="4">
        <v>1446</v>
      </c>
      <c r="I124" s="12">
        <v>30</v>
      </c>
      <c r="J124" s="8">
        <v>13580</v>
      </c>
      <c r="K124" s="8">
        <v>3420</v>
      </c>
      <c r="L124" s="8">
        <v>0</v>
      </c>
      <c r="M124" s="30">
        <f t="shared" si="69"/>
        <v>17000</v>
      </c>
      <c r="N124" s="8">
        <f t="shared" si="70"/>
        <v>17000</v>
      </c>
      <c r="O124" s="6">
        <f t="shared" si="66"/>
        <v>13580</v>
      </c>
      <c r="P124" s="6">
        <f t="shared" si="67"/>
        <v>3420</v>
      </c>
      <c r="Q124" s="6">
        <f t="shared" si="68"/>
        <v>0</v>
      </c>
      <c r="R124" s="8"/>
      <c r="S124" s="16">
        <f t="shared" si="75"/>
        <v>17000</v>
      </c>
      <c r="T124" s="8">
        <f t="shared" si="53"/>
        <v>1630</v>
      </c>
      <c r="U124" s="6">
        <f t="shared" si="76"/>
        <v>128</v>
      </c>
      <c r="V124" s="54"/>
      <c r="W124" s="55"/>
      <c r="X124" s="6">
        <f t="shared" si="77"/>
        <v>1758</v>
      </c>
      <c r="Y124" s="16">
        <f t="shared" si="78"/>
        <v>15242</v>
      </c>
    </row>
    <row r="125" spans="1:25" s="80" customFormat="1" ht="14.1" customHeight="1">
      <c r="A125" s="8">
        <v>119</v>
      </c>
      <c r="B125" s="70">
        <v>102287173257</v>
      </c>
      <c r="C125" s="71">
        <v>6725353936</v>
      </c>
      <c r="D125" s="71" t="s">
        <v>43</v>
      </c>
      <c r="E125" s="85" t="s">
        <v>387</v>
      </c>
      <c r="F125" s="72" t="s">
        <v>388</v>
      </c>
      <c r="G125" s="73" t="s">
        <v>389</v>
      </c>
      <c r="H125" s="74">
        <v>1448</v>
      </c>
      <c r="I125" s="75">
        <v>3.5</v>
      </c>
      <c r="J125" s="44">
        <v>13580</v>
      </c>
      <c r="K125" s="44">
        <v>1420</v>
      </c>
      <c r="L125" s="44">
        <v>0</v>
      </c>
      <c r="M125" s="45">
        <f t="shared" si="69"/>
        <v>15000</v>
      </c>
      <c r="N125" s="44">
        <f t="shared" si="70"/>
        <v>15000</v>
      </c>
      <c r="O125" s="46">
        <f t="shared" si="66"/>
        <v>1584</v>
      </c>
      <c r="P125" s="46">
        <f t="shared" si="67"/>
        <v>166</v>
      </c>
      <c r="Q125" s="46">
        <f t="shared" si="68"/>
        <v>0</v>
      </c>
      <c r="R125" s="44"/>
      <c r="S125" s="76">
        <f t="shared" si="75"/>
        <v>1750</v>
      </c>
      <c r="T125" s="44">
        <f t="shared" si="53"/>
        <v>190</v>
      </c>
      <c r="U125" s="46">
        <f t="shared" si="76"/>
        <v>14</v>
      </c>
      <c r="V125" s="78"/>
      <c r="W125" s="79"/>
      <c r="X125" s="46">
        <f t="shared" si="77"/>
        <v>204</v>
      </c>
      <c r="Y125" s="76">
        <f t="shared" si="78"/>
        <v>1546</v>
      </c>
    </row>
    <row r="126" spans="1:25" ht="14.1" customHeight="1">
      <c r="A126" s="8">
        <v>120</v>
      </c>
      <c r="B126" s="38">
        <v>102305571378</v>
      </c>
      <c r="C126" s="37" t="s">
        <v>30</v>
      </c>
      <c r="D126" s="37"/>
      <c r="E126" s="83" t="s">
        <v>390</v>
      </c>
      <c r="F126" s="34" t="s">
        <v>391</v>
      </c>
      <c r="G126" s="36" t="s">
        <v>392</v>
      </c>
      <c r="H126" s="4">
        <v>1536</v>
      </c>
      <c r="I126" s="12">
        <v>29</v>
      </c>
      <c r="J126" s="8">
        <v>13580</v>
      </c>
      <c r="K126" s="8">
        <v>9136</v>
      </c>
      <c r="L126" s="8">
        <v>2284</v>
      </c>
      <c r="M126" s="30">
        <f t="shared" ref="M126:M155" si="79">J126+K126+L126</f>
        <v>25000</v>
      </c>
      <c r="N126" s="8">
        <f t="shared" ref="N126:N155" si="80">M126</f>
        <v>25000</v>
      </c>
      <c r="O126" s="6">
        <f t="shared" si="66"/>
        <v>13127</v>
      </c>
      <c r="P126" s="6">
        <f t="shared" si="67"/>
        <v>8831</v>
      </c>
      <c r="Q126" s="6">
        <f t="shared" si="68"/>
        <v>2208</v>
      </c>
      <c r="R126" s="8"/>
      <c r="S126" s="16">
        <f t="shared" ref="S126:S155" si="81">O126+P126+Q126</f>
        <v>24166</v>
      </c>
      <c r="T126" s="8">
        <f t="shared" si="53"/>
        <v>1575</v>
      </c>
      <c r="U126" s="53">
        <v>0</v>
      </c>
      <c r="V126" s="54"/>
      <c r="W126" s="55"/>
      <c r="X126" s="6">
        <f t="shared" ref="X126:X155" si="82">T126+U126+V126+W126</f>
        <v>1575</v>
      </c>
      <c r="Y126" s="16">
        <f t="shared" ref="Y126:Y155" si="83">S126-X126</f>
        <v>22591</v>
      </c>
    </row>
    <row r="127" spans="1:25" ht="14.1" customHeight="1">
      <c r="A127" s="8">
        <v>121</v>
      </c>
      <c r="B127" s="38">
        <v>102305571559</v>
      </c>
      <c r="C127" s="37">
        <v>6725431544</v>
      </c>
      <c r="D127" s="37"/>
      <c r="E127" s="83" t="s">
        <v>393</v>
      </c>
      <c r="F127" s="34" t="s">
        <v>394</v>
      </c>
      <c r="G127" s="36" t="s">
        <v>395</v>
      </c>
      <c r="H127" s="4">
        <v>1538</v>
      </c>
      <c r="I127" s="12">
        <v>30</v>
      </c>
      <c r="J127" s="8">
        <v>13580</v>
      </c>
      <c r="K127" s="8">
        <v>3536</v>
      </c>
      <c r="L127" s="8">
        <v>884</v>
      </c>
      <c r="M127" s="30">
        <f t="shared" si="79"/>
        <v>18000</v>
      </c>
      <c r="N127" s="8">
        <f t="shared" si="80"/>
        <v>18000</v>
      </c>
      <c r="O127" s="6">
        <f t="shared" si="66"/>
        <v>13580</v>
      </c>
      <c r="P127" s="6">
        <f t="shared" si="67"/>
        <v>3536</v>
      </c>
      <c r="Q127" s="6">
        <f t="shared" si="68"/>
        <v>884</v>
      </c>
      <c r="R127" s="8"/>
      <c r="S127" s="16">
        <f t="shared" si="81"/>
        <v>18000</v>
      </c>
      <c r="T127" s="8">
        <f t="shared" si="53"/>
        <v>1630</v>
      </c>
      <c r="U127" s="6">
        <f t="shared" si="76"/>
        <v>135</v>
      </c>
      <c r="V127" s="54"/>
      <c r="W127" s="55"/>
      <c r="X127" s="6">
        <f t="shared" si="82"/>
        <v>1765</v>
      </c>
      <c r="Y127" s="16">
        <f t="shared" si="83"/>
        <v>16235</v>
      </c>
    </row>
    <row r="128" spans="1:25" ht="14.1" customHeight="1">
      <c r="A128" s="8">
        <v>122</v>
      </c>
      <c r="B128" s="38">
        <v>102300379867</v>
      </c>
      <c r="C128" s="37">
        <v>6725444558</v>
      </c>
      <c r="D128" s="37"/>
      <c r="E128" s="83" t="s">
        <v>396</v>
      </c>
      <c r="F128" s="34" t="s">
        <v>397</v>
      </c>
      <c r="G128" s="36" t="s">
        <v>398</v>
      </c>
      <c r="H128" s="4">
        <v>1645</v>
      </c>
      <c r="I128" s="12">
        <v>29.5</v>
      </c>
      <c r="J128" s="8">
        <v>13580</v>
      </c>
      <c r="K128" s="8">
        <v>5136</v>
      </c>
      <c r="L128" s="8">
        <v>1284</v>
      </c>
      <c r="M128" s="30">
        <f t="shared" si="79"/>
        <v>20000</v>
      </c>
      <c r="N128" s="8">
        <f t="shared" si="80"/>
        <v>20000</v>
      </c>
      <c r="O128" s="6">
        <f t="shared" si="66"/>
        <v>13354</v>
      </c>
      <c r="P128" s="6">
        <f t="shared" si="67"/>
        <v>5050</v>
      </c>
      <c r="Q128" s="6">
        <f t="shared" si="68"/>
        <v>1263</v>
      </c>
      <c r="R128" s="8"/>
      <c r="S128" s="16">
        <f t="shared" si="81"/>
        <v>19667</v>
      </c>
      <c r="T128" s="8">
        <f t="shared" ref="T128:T159" si="84">ROUND(IF(J128&gt;15000,(15000/$AA$3*I128)*12%,O128*12%)*1,0)</f>
        <v>1602</v>
      </c>
      <c r="U128" s="6">
        <f t="shared" si="76"/>
        <v>148</v>
      </c>
      <c r="V128" s="54"/>
      <c r="W128" s="55"/>
      <c r="X128" s="6">
        <f t="shared" si="82"/>
        <v>1750</v>
      </c>
      <c r="Y128" s="16">
        <f t="shared" si="83"/>
        <v>17917</v>
      </c>
    </row>
    <row r="129" spans="1:25" ht="14.1" customHeight="1">
      <c r="A129" s="8">
        <v>123</v>
      </c>
      <c r="B129" s="38">
        <v>101883750314</v>
      </c>
      <c r="C129" s="37" t="s">
        <v>30</v>
      </c>
      <c r="D129" s="37"/>
      <c r="E129" s="83" t="s">
        <v>399</v>
      </c>
      <c r="F129" s="34" t="s">
        <v>400</v>
      </c>
      <c r="G129" s="36" t="s">
        <v>401</v>
      </c>
      <c r="H129" s="4">
        <v>1647</v>
      </c>
      <c r="I129" s="12">
        <v>30</v>
      </c>
      <c r="J129" s="8">
        <v>13580</v>
      </c>
      <c r="K129" s="8">
        <v>8336</v>
      </c>
      <c r="L129" s="8">
        <v>2084</v>
      </c>
      <c r="M129" s="30">
        <f t="shared" si="79"/>
        <v>24000</v>
      </c>
      <c r="N129" s="8">
        <f t="shared" si="80"/>
        <v>24000</v>
      </c>
      <c r="O129" s="6">
        <f t="shared" si="66"/>
        <v>13580</v>
      </c>
      <c r="P129" s="6">
        <f t="shared" si="67"/>
        <v>8336</v>
      </c>
      <c r="Q129" s="6">
        <f t="shared" si="68"/>
        <v>2084</v>
      </c>
      <c r="R129" s="8"/>
      <c r="S129" s="16">
        <f t="shared" si="81"/>
        <v>24000</v>
      </c>
      <c r="T129" s="8">
        <f t="shared" si="84"/>
        <v>1630</v>
      </c>
      <c r="U129" s="53">
        <v>0</v>
      </c>
      <c r="V129" s="54"/>
      <c r="W129" s="55"/>
      <c r="X129" s="6">
        <f t="shared" si="82"/>
        <v>1630</v>
      </c>
      <c r="Y129" s="16">
        <f t="shared" si="83"/>
        <v>22370</v>
      </c>
    </row>
    <row r="130" spans="1:25" ht="14.1" customHeight="1">
      <c r="A130" s="8">
        <v>124</v>
      </c>
      <c r="B130" s="38">
        <v>102300380470</v>
      </c>
      <c r="C130" s="37">
        <v>6725444579</v>
      </c>
      <c r="D130" s="37"/>
      <c r="E130" s="83" t="s">
        <v>402</v>
      </c>
      <c r="F130" s="34" t="s">
        <v>403</v>
      </c>
      <c r="G130" s="36" t="s">
        <v>404</v>
      </c>
      <c r="H130" s="4">
        <v>1648</v>
      </c>
      <c r="I130" s="12">
        <v>30</v>
      </c>
      <c r="J130" s="8">
        <v>13580</v>
      </c>
      <c r="K130" s="8">
        <v>5136</v>
      </c>
      <c r="L130" s="8">
        <v>1284</v>
      </c>
      <c r="M130" s="30">
        <f t="shared" si="79"/>
        <v>20000</v>
      </c>
      <c r="N130" s="8">
        <f t="shared" si="80"/>
        <v>20000</v>
      </c>
      <c r="O130" s="6">
        <f t="shared" si="66"/>
        <v>13580</v>
      </c>
      <c r="P130" s="6">
        <f t="shared" si="67"/>
        <v>5136</v>
      </c>
      <c r="Q130" s="6">
        <f t="shared" si="68"/>
        <v>1284</v>
      </c>
      <c r="R130" s="8"/>
      <c r="S130" s="16">
        <f t="shared" si="81"/>
        <v>20000</v>
      </c>
      <c r="T130" s="8">
        <f t="shared" si="84"/>
        <v>1630</v>
      </c>
      <c r="U130" s="6">
        <f t="shared" si="76"/>
        <v>150</v>
      </c>
      <c r="V130" s="54"/>
      <c r="W130" s="55"/>
      <c r="X130" s="6">
        <f t="shared" si="82"/>
        <v>1780</v>
      </c>
      <c r="Y130" s="16">
        <f t="shared" si="83"/>
        <v>18220</v>
      </c>
    </row>
    <row r="131" spans="1:25" ht="14.1" customHeight="1">
      <c r="A131" s="8">
        <v>125</v>
      </c>
      <c r="B131" s="38">
        <v>102300380732</v>
      </c>
      <c r="C131" s="37">
        <v>6725444591</v>
      </c>
      <c r="D131" s="37"/>
      <c r="E131" s="83" t="s">
        <v>405</v>
      </c>
      <c r="F131" s="34" t="s">
        <v>406</v>
      </c>
      <c r="G131" s="36" t="s">
        <v>407</v>
      </c>
      <c r="H131" s="4">
        <v>1650</v>
      </c>
      <c r="I131" s="12">
        <v>30</v>
      </c>
      <c r="J131" s="8">
        <v>13580</v>
      </c>
      <c r="K131" s="8">
        <v>5136</v>
      </c>
      <c r="L131" s="8">
        <v>1284</v>
      </c>
      <c r="M131" s="30">
        <f t="shared" si="79"/>
        <v>20000</v>
      </c>
      <c r="N131" s="8">
        <f t="shared" si="80"/>
        <v>20000</v>
      </c>
      <c r="O131" s="6">
        <f t="shared" si="66"/>
        <v>13580</v>
      </c>
      <c r="P131" s="6">
        <f t="shared" si="67"/>
        <v>5136</v>
      </c>
      <c r="Q131" s="6">
        <f t="shared" si="68"/>
        <v>1284</v>
      </c>
      <c r="R131" s="8"/>
      <c r="S131" s="16">
        <f t="shared" si="81"/>
        <v>20000</v>
      </c>
      <c r="T131" s="8">
        <f t="shared" si="84"/>
        <v>1630</v>
      </c>
      <c r="U131" s="6">
        <f t="shared" si="76"/>
        <v>150</v>
      </c>
      <c r="V131" s="54"/>
      <c r="W131" s="55"/>
      <c r="X131" s="6">
        <f t="shared" si="82"/>
        <v>1780</v>
      </c>
      <c r="Y131" s="16">
        <f t="shared" si="83"/>
        <v>18220</v>
      </c>
    </row>
    <row r="132" spans="1:25" ht="14.1" customHeight="1">
      <c r="A132" s="8">
        <v>126</v>
      </c>
      <c r="B132" s="38">
        <v>102300383898</v>
      </c>
      <c r="C132" s="37">
        <v>6725444595</v>
      </c>
      <c r="D132" s="37"/>
      <c r="E132" s="83" t="s">
        <v>408</v>
      </c>
      <c r="F132" s="34" t="s">
        <v>409</v>
      </c>
      <c r="G132" s="36" t="s">
        <v>410</v>
      </c>
      <c r="H132" s="4">
        <v>1651</v>
      </c>
      <c r="I132" s="12">
        <v>30</v>
      </c>
      <c r="J132" s="8">
        <v>13580</v>
      </c>
      <c r="K132" s="8">
        <v>5136</v>
      </c>
      <c r="L132" s="8">
        <v>1284</v>
      </c>
      <c r="M132" s="30">
        <f t="shared" si="79"/>
        <v>20000</v>
      </c>
      <c r="N132" s="8">
        <f t="shared" si="80"/>
        <v>20000</v>
      </c>
      <c r="O132" s="6">
        <f t="shared" si="66"/>
        <v>13580</v>
      </c>
      <c r="P132" s="6">
        <f t="shared" si="67"/>
        <v>5136</v>
      </c>
      <c r="Q132" s="6">
        <f t="shared" si="68"/>
        <v>1284</v>
      </c>
      <c r="R132" s="8"/>
      <c r="S132" s="16">
        <f t="shared" si="81"/>
        <v>20000</v>
      </c>
      <c r="T132" s="8">
        <f t="shared" si="84"/>
        <v>1630</v>
      </c>
      <c r="U132" s="6">
        <f t="shared" si="76"/>
        <v>150</v>
      </c>
      <c r="V132" s="54"/>
      <c r="W132" s="55"/>
      <c r="X132" s="6">
        <f t="shared" si="82"/>
        <v>1780</v>
      </c>
      <c r="Y132" s="16">
        <f t="shared" si="83"/>
        <v>18220</v>
      </c>
    </row>
    <row r="133" spans="1:25" ht="14.1" customHeight="1">
      <c r="A133" s="8">
        <v>127</v>
      </c>
      <c r="B133" s="38">
        <v>102300384578</v>
      </c>
      <c r="C133" s="37">
        <v>6725444597</v>
      </c>
      <c r="D133" s="37"/>
      <c r="E133" s="83" t="s">
        <v>411</v>
      </c>
      <c r="F133" s="34" t="s">
        <v>412</v>
      </c>
      <c r="G133" s="36" t="s">
        <v>413</v>
      </c>
      <c r="H133" s="4">
        <v>1652</v>
      </c>
      <c r="I133" s="12">
        <v>30</v>
      </c>
      <c r="J133" s="8">
        <v>13580</v>
      </c>
      <c r="K133" s="8">
        <v>5136</v>
      </c>
      <c r="L133" s="8">
        <v>1284</v>
      </c>
      <c r="M133" s="30">
        <f t="shared" si="79"/>
        <v>20000</v>
      </c>
      <c r="N133" s="8">
        <f t="shared" si="80"/>
        <v>20000</v>
      </c>
      <c r="O133" s="6">
        <f t="shared" si="66"/>
        <v>13580</v>
      </c>
      <c r="P133" s="6">
        <f t="shared" si="67"/>
        <v>5136</v>
      </c>
      <c r="Q133" s="6">
        <f t="shared" si="68"/>
        <v>1284</v>
      </c>
      <c r="R133" s="8"/>
      <c r="S133" s="16">
        <f t="shared" si="81"/>
        <v>20000</v>
      </c>
      <c r="T133" s="8">
        <f t="shared" si="84"/>
        <v>1630</v>
      </c>
      <c r="U133" s="6">
        <f t="shared" si="76"/>
        <v>150</v>
      </c>
      <c r="V133" s="54"/>
      <c r="W133" s="55"/>
      <c r="X133" s="6">
        <f t="shared" si="82"/>
        <v>1780</v>
      </c>
      <c r="Y133" s="16">
        <f t="shared" si="83"/>
        <v>18220</v>
      </c>
    </row>
    <row r="134" spans="1:25" ht="14.1" customHeight="1">
      <c r="A134" s="8">
        <v>128</v>
      </c>
      <c r="B134" s="38">
        <v>102300383592</v>
      </c>
      <c r="C134" s="37">
        <v>6725444599</v>
      </c>
      <c r="D134" s="37"/>
      <c r="E134" s="83" t="s">
        <v>414</v>
      </c>
      <c r="F134" s="34" t="s">
        <v>415</v>
      </c>
      <c r="G134" s="36" t="s">
        <v>416</v>
      </c>
      <c r="H134" s="4">
        <v>1653</v>
      </c>
      <c r="I134" s="12">
        <v>30</v>
      </c>
      <c r="J134" s="8">
        <v>13580</v>
      </c>
      <c r="K134" s="8">
        <v>4336</v>
      </c>
      <c r="L134" s="8">
        <v>1084</v>
      </c>
      <c r="M134" s="30">
        <f t="shared" si="79"/>
        <v>19000</v>
      </c>
      <c r="N134" s="8">
        <f t="shared" si="80"/>
        <v>19000</v>
      </c>
      <c r="O134" s="6">
        <f t="shared" si="66"/>
        <v>13580</v>
      </c>
      <c r="P134" s="6">
        <f t="shared" si="67"/>
        <v>4336</v>
      </c>
      <c r="Q134" s="6">
        <f t="shared" si="68"/>
        <v>1084</v>
      </c>
      <c r="R134" s="8"/>
      <c r="S134" s="16">
        <f t="shared" si="81"/>
        <v>19000</v>
      </c>
      <c r="T134" s="8">
        <f t="shared" si="84"/>
        <v>1630</v>
      </c>
      <c r="U134" s="6">
        <f t="shared" si="76"/>
        <v>143</v>
      </c>
      <c r="V134" s="54"/>
      <c r="W134" s="55"/>
      <c r="X134" s="6">
        <f t="shared" si="82"/>
        <v>1773</v>
      </c>
      <c r="Y134" s="16">
        <f t="shared" si="83"/>
        <v>17227</v>
      </c>
    </row>
    <row r="135" spans="1:25" s="80" customFormat="1" ht="17.45" customHeight="1">
      <c r="A135" s="8">
        <v>129</v>
      </c>
      <c r="B135" s="70">
        <v>102300381324</v>
      </c>
      <c r="C135" s="71">
        <v>6725444603</v>
      </c>
      <c r="D135" s="71"/>
      <c r="E135" s="85" t="s">
        <v>417</v>
      </c>
      <c r="F135" s="72" t="s">
        <v>418</v>
      </c>
      <c r="G135" s="73" t="s">
        <v>419</v>
      </c>
      <c r="H135" s="74">
        <v>1654</v>
      </c>
      <c r="I135" s="75">
        <v>3</v>
      </c>
      <c r="J135" s="44">
        <v>13580</v>
      </c>
      <c r="K135" s="44">
        <v>5136</v>
      </c>
      <c r="L135" s="44">
        <v>1284</v>
      </c>
      <c r="M135" s="45">
        <f t="shared" si="79"/>
        <v>20000</v>
      </c>
      <c r="N135" s="44">
        <f t="shared" si="80"/>
        <v>20000</v>
      </c>
      <c r="O135" s="46">
        <f t="shared" si="66"/>
        <v>1358</v>
      </c>
      <c r="P135" s="46">
        <f t="shared" si="67"/>
        <v>514</v>
      </c>
      <c r="Q135" s="46">
        <f t="shared" si="68"/>
        <v>128</v>
      </c>
      <c r="R135" s="44"/>
      <c r="S135" s="76">
        <f t="shared" si="81"/>
        <v>2000</v>
      </c>
      <c r="T135" s="44">
        <f t="shared" si="84"/>
        <v>163</v>
      </c>
      <c r="U135" s="46">
        <f t="shared" si="76"/>
        <v>15</v>
      </c>
      <c r="V135" s="78"/>
      <c r="W135" s="79"/>
      <c r="X135" s="46">
        <f t="shared" si="82"/>
        <v>178</v>
      </c>
      <c r="Y135" s="76">
        <f t="shared" si="83"/>
        <v>1822</v>
      </c>
    </row>
    <row r="136" spans="1:25" ht="14.1" customHeight="1">
      <c r="A136" s="8">
        <v>130</v>
      </c>
      <c r="B136" s="38">
        <v>102016975367</v>
      </c>
      <c r="C136" s="37">
        <v>6725444608</v>
      </c>
      <c r="D136" s="37"/>
      <c r="E136" s="83" t="s">
        <v>420</v>
      </c>
      <c r="F136" s="34" t="s">
        <v>421</v>
      </c>
      <c r="G136" s="36" t="s">
        <v>422</v>
      </c>
      <c r="H136" s="4">
        <v>1656</v>
      </c>
      <c r="I136" s="12">
        <v>30</v>
      </c>
      <c r="J136" s="8">
        <v>13580</v>
      </c>
      <c r="K136" s="8">
        <v>5136</v>
      </c>
      <c r="L136" s="8">
        <v>1284</v>
      </c>
      <c r="M136" s="30">
        <f t="shared" si="79"/>
        <v>20000</v>
      </c>
      <c r="N136" s="8">
        <f t="shared" si="80"/>
        <v>20000</v>
      </c>
      <c r="O136" s="6">
        <f t="shared" si="66"/>
        <v>13580</v>
      </c>
      <c r="P136" s="6">
        <f t="shared" si="67"/>
        <v>5136</v>
      </c>
      <c r="Q136" s="6">
        <f t="shared" si="68"/>
        <v>1284</v>
      </c>
      <c r="R136" s="8"/>
      <c r="S136" s="16">
        <f t="shared" si="81"/>
        <v>20000</v>
      </c>
      <c r="T136" s="8">
        <f t="shared" si="84"/>
        <v>1630</v>
      </c>
      <c r="U136" s="6">
        <f t="shared" si="76"/>
        <v>150</v>
      </c>
      <c r="V136" s="54"/>
      <c r="W136" s="55"/>
      <c r="X136" s="6">
        <f t="shared" si="82"/>
        <v>1780</v>
      </c>
      <c r="Y136" s="16">
        <f t="shared" si="83"/>
        <v>18220</v>
      </c>
    </row>
    <row r="137" spans="1:25" ht="14.1" customHeight="1">
      <c r="A137" s="8">
        <v>131</v>
      </c>
      <c r="B137" s="38">
        <v>102308508054</v>
      </c>
      <c r="C137" s="37" t="s">
        <v>30</v>
      </c>
      <c r="D137" s="37"/>
      <c r="E137" s="83" t="s">
        <v>423</v>
      </c>
      <c r="F137" s="34" t="s">
        <v>424</v>
      </c>
      <c r="G137" s="36" t="s">
        <v>425</v>
      </c>
      <c r="H137" s="4">
        <v>1658</v>
      </c>
      <c r="I137" s="12">
        <v>30</v>
      </c>
      <c r="J137" s="8">
        <v>13580</v>
      </c>
      <c r="K137" s="8">
        <v>8336</v>
      </c>
      <c r="L137" s="8">
        <v>2084</v>
      </c>
      <c r="M137" s="30">
        <f t="shared" si="79"/>
        <v>24000</v>
      </c>
      <c r="N137" s="8">
        <f t="shared" si="80"/>
        <v>24000</v>
      </c>
      <c r="O137" s="6">
        <f t="shared" si="66"/>
        <v>13580</v>
      </c>
      <c r="P137" s="6">
        <f t="shared" si="67"/>
        <v>8336</v>
      </c>
      <c r="Q137" s="6">
        <f t="shared" si="68"/>
        <v>2084</v>
      </c>
      <c r="R137" s="8"/>
      <c r="S137" s="16">
        <f t="shared" si="81"/>
        <v>24000</v>
      </c>
      <c r="T137" s="8">
        <f t="shared" si="84"/>
        <v>1630</v>
      </c>
      <c r="U137" s="53">
        <v>0</v>
      </c>
      <c r="V137" s="54"/>
      <c r="W137" s="55"/>
      <c r="X137" s="6">
        <f t="shared" si="82"/>
        <v>1630</v>
      </c>
      <c r="Y137" s="16">
        <f t="shared" si="83"/>
        <v>22370</v>
      </c>
    </row>
    <row r="138" spans="1:25" ht="14.1" customHeight="1">
      <c r="A138" s="8">
        <v>132</v>
      </c>
      <c r="B138" s="38">
        <v>101985876288</v>
      </c>
      <c r="C138" s="37">
        <v>6725455434</v>
      </c>
      <c r="D138" s="37"/>
      <c r="E138" s="83" t="s">
        <v>426</v>
      </c>
      <c r="F138" s="34" t="s">
        <v>427</v>
      </c>
      <c r="G138" s="36" t="s">
        <v>428</v>
      </c>
      <c r="H138" s="4">
        <v>1657</v>
      </c>
      <c r="I138" s="12">
        <v>30</v>
      </c>
      <c r="J138" s="8">
        <v>13580</v>
      </c>
      <c r="K138" s="8">
        <v>5136</v>
      </c>
      <c r="L138" s="8">
        <v>1284</v>
      </c>
      <c r="M138" s="30">
        <f t="shared" si="79"/>
        <v>20000</v>
      </c>
      <c r="N138" s="8">
        <f t="shared" si="80"/>
        <v>20000</v>
      </c>
      <c r="O138" s="6">
        <f t="shared" si="66"/>
        <v>13580</v>
      </c>
      <c r="P138" s="6">
        <f t="shared" si="67"/>
        <v>5136</v>
      </c>
      <c r="Q138" s="6">
        <f t="shared" si="68"/>
        <v>1284</v>
      </c>
      <c r="R138" s="8"/>
      <c r="S138" s="16">
        <f t="shared" si="81"/>
        <v>20000</v>
      </c>
      <c r="T138" s="8">
        <f t="shared" si="84"/>
        <v>1630</v>
      </c>
      <c r="U138" s="6">
        <f t="shared" si="76"/>
        <v>150</v>
      </c>
      <c r="V138" s="54"/>
      <c r="W138" s="55"/>
      <c r="X138" s="6">
        <f t="shared" si="82"/>
        <v>1780</v>
      </c>
      <c r="Y138" s="16">
        <f t="shared" si="83"/>
        <v>18220</v>
      </c>
    </row>
    <row r="139" spans="1:25" s="80" customFormat="1" ht="14.1" customHeight="1">
      <c r="A139" s="8">
        <v>133</v>
      </c>
      <c r="B139" s="70">
        <v>102300862415</v>
      </c>
      <c r="C139" s="71">
        <v>6725429648</v>
      </c>
      <c r="D139" s="71" t="s">
        <v>43</v>
      </c>
      <c r="E139" s="85" t="s">
        <v>429</v>
      </c>
      <c r="F139" s="72" t="s">
        <v>430</v>
      </c>
      <c r="G139" s="73" t="s">
        <v>431</v>
      </c>
      <c r="H139" s="74" t="s">
        <v>432</v>
      </c>
      <c r="I139" s="75">
        <v>1</v>
      </c>
      <c r="J139" s="44">
        <v>13580</v>
      </c>
      <c r="K139" s="44">
        <v>1136</v>
      </c>
      <c r="L139" s="44">
        <v>284</v>
      </c>
      <c r="M139" s="45">
        <f t="shared" si="79"/>
        <v>15000</v>
      </c>
      <c r="N139" s="44">
        <f t="shared" si="80"/>
        <v>15000</v>
      </c>
      <c r="O139" s="46">
        <f t="shared" si="66"/>
        <v>453</v>
      </c>
      <c r="P139" s="46">
        <f t="shared" si="67"/>
        <v>38</v>
      </c>
      <c r="Q139" s="46">
        <f t="shared" si="68"/>
        <v>9</v>
      </c>
      <c r="R139" s="44"/>
      <c r="S139" s="76">
        <f t="shared" si="81"/>
        <v>500</v>
      </c>
      <c r="T139" s="44">
        <f t="shared" si="84"/>
        <v>54</v>
      </c>
      <c r="U139" s="46">
        <f t="shared" si="76"/>
        <v>4</v>
      </c>
      <c r="V139" s="78"/>
      <c r="W139" s="79"/>
      <c r="X139" s="46">
        <f t="shared" si="82"/>
        <v>58</v>
      </c>
      <c r="Y139" s="76">
        <f t="shared" si="83"/>
        <v>442</v>
      </c>
    </row>
    <row r="140" spans="1:25" ht="14.1" customHeight="1">
      <c r="A140" s="8">
        <v>134</v>
      </c>
      <c r="B140" s="38">
        <v>102304538764</v>
      </c>
      <c r="C140" s="37">
        <v>6725452206</v>
      </c>
      <c r="D140" s="37" t="s">
        <v>43</v>
      </c>
      <c r="E140" s="83" t="s">
        <v>433</v>
      </c>
      <c r="F140" s="34" t="s">
        <v>434</v>
      </c>
      <c r="G140" s="36" t="s">
        <v>435</v>
      </c>
      <c r="H140" s="4">
        <v>1601</v>
      </c>
      <c r="I140" s="12">
        <v>30</v>
      </c>
      <c r="J140" s="8">
        <v>13580</v>
      </c>
      <c r="K140" s="8">
        <v>5136</v>
      </c>
      <c r="L140" s="8">
        <v>1284</v>
      </c>
      <c r="M140" s="30">
        <f t="shared" si="79"/>
        <v>20000</v>
      </c>
      <c r="N140" s="8">
        <f t="shared" si="80"/>
        <v>20000</v>
      </c>
      <c r="O140" s="6">
        <f t="shared" si="66"/>
        <v>13580</v>
      </c>
      <c r="P140" s="6">
        <f t="shared" si="67"/>
        <v>5136</v>
      </c>
      <c r="Q140" s="6">
        <f t="shared" si="68"/>
        <v>1284</v>
      </c>
      <c r="R140" s="8"/>
      <c r="S140" s="16">
        <f t="shared" si="81"/>
        <v>20000</v>
      </c>
      <c r="T140" s="8">
        <f t="shared" si="84"/>
        <v>1630</v>
      </c>
      <c r="U140" s="6">
        <f t="shared" si="76"/>
        <v>150</v>
      </c>
      <c r="V140" s="54"/>
      <c r="W140" s="55"/>
      <c r="X140" s="6">
        <f t="shared" si="82"/>
        <v>1780</v>
      </c>
      <c r="Y140" s="16">
        <f t="shared" si="83"/>
        <v>18220</v>
      </c>
    </row>
    <row r="141" spans="1:25" ht="14.1" customHeight="1">
      <c r="A141" s="8">
        <v>135</v>
      </c>
      <c r="B141" s="38">
        <v>102304506795</v>
      </c>
      <c r="C141" s="37">
        <v>6725451278</v>
      </c>
      <c r="D141" s="37" t="s">
        <v>43</v>
      </c>
      <c r="E141" s="83" t="s">
        <v>436</v>
      </c>
      <c r="F141" s="34" t="s">
        <v>437</v>
      </c>
      <c r="G141" s="36" t="s">
        <v>438</v>
      </c>
      <c r="H141" s="4">
        <v>1578</v>
      </c>
      <c r="I141" s="12">
        <v>30</v>
      </c>
      <c r="J141" s="8">
        <v>13580</v>
      </c>
      <c r="K141" s="8">
        <v>1136</v>
      </c>
      <c r="L141" s="8">
        <v>284</v>
      </c>
      <c r="M141" s="30">
        <f t="shared" si="79"/>
        <v>15000</v>
      </c>
      <c r="N141" s="8">
        <f t="shared" si="80"/>
        <v>15000</v>
      </c>
      <c r="O141" s="6">
        <f t="shared" si="66"/>
        <v>13580</v>
      </c>
      <c r="P141" s="6">
        <f t="shared" si="67"/>
        <v>1136</v>
      </c>
      <c r="Q141" s="6">
        <f t="shared" si="68"/>
        <v>284</v>
      </c>
      <c r="R141" s="8"/>
      <c r="S141" s="16">
        <f t="shared" si="81"/>
        <v>15000</v>
      </c>
      <c r="T141" s="8">
        <f t="shared" si="84"/>
        <v>1630</v>
      </c>
      <c r="U141" s="6">
        <f t="shared" si="76"/>
        <v>113</v>
      </c>
      <c r="V141" s="54"/>
      <c r="W141" s="55"/>
      <c r="X141" s="6">
        <f t="shared" si="82"/>
        <v>1743</v>
      </c>
      <c r="Y141" s="16">
        <f t="shared" si="83"/>
        <v>13257</v>
      </c>
    </row>
    <row r="142" spans="1:25" ht="14.1" customHeight="1">
      <c r="A142" s="8">
        <v>136</v>
      </c>
      <c r="B142" s="38">
        <v>102304501738</v>
      </c>
      <c r="C142" s="37">
        <v>6725451413</v>
      </c>
      <c r="D142" s="37" t="s">
        <v>43</v>
      </c>
      <c r="E142" s="83" t="s">
        <v>439</v>
      </c>
      <c r="F142" s="34" t="s">
        <v>440</v>
      </c>
      <c r="G142" s="36" t="s">
        <v>441</v>
      </c>
      <c r="H142" s="4">
        <v>1584</v>
      </c>
      <c r="I142" s="12">
        <v>30</v>
      </c>
      <c r="J142" s="8">
        <v>13580</v>
      </c>
      <c r="K142" s="8">
        <v>1136</v>
      </c>
      <c r="L142" s="8">
        <v>284</v>
      </c>
      <c r="M142" s="30">
        <f t="shared" si="79"/>
        <v>15000</v>
      </c>
      <c r="N142" s="8">
        <f t="shared" si="80"/>
        <v>15000</v>
      </c>
      <c r="O142" s="6">
        <f t="shared" si="66"/>
        <v>13580</v>
      </c>
      <c r="P142" s="6">
        <f t="shared" si="67"/>
        <v>1136</v>
      </c>
      <c r="Q142" s="6">
        <f t="shared" si="68"/>
        <v>284</v>
      </c>
      <c r="R142" s="8"/>
      <c r="S142" s="16">
        <f t="shared" si="81"/>
        <v>15000</v>
      </c>
      <c r="T142" s="8">
        <f t="shared" si="84"/>
        <v>1630</v>
      </c>
      <c r="U142" s="6">
        <f t="shared" si="76"/>
        <v>113</v>
      </c>
      <c r="V142" s="54"/>
      <c r="W142" s="55"/>
      <c r="X142" s="6">
        <f t="shared" si="82"/>
        <v>1743</v>
      </c>
      <c r="Y142" s="16">
        <f t="shared" si="83"/>
        <v>13257</v>
      </c>
    </row>
    <row r="143" spans="1:25" ht="14.1" customHeight="1">
      <c r="A143" s="8">
        <v>137</v>
      </c>
      <c r="B143" s="38">
        <v>102304484778</v>
      </c>
      <c r="C143" s="37">
        <v>6725451510</v>
      </c>
      <c r="D143" s="37" t="s">
        <v>43</v>
      </c>
      <c r="E143" s="83" t="s">
        <v>442</v>
      </c>
      <c r="F143" s="34" t="s">
        <v>443</v>
      </c>
      <c r="G143" s="36" t="s">
        <v>444</v>
      </c>
      <c r="H143" s="4">
        <v>1575</v>
      </c>
      <c r="I143" s="12">
        <v>30</v>
      </c>
      <c r="J143" s="8">
        <v>13580</v>
      </c>
      <c r="K143" s="8">
        <v>5136</v>
      </c>
      <c r="L143" s="8">
        <v>1284</v>
      </c>
      <c r="M143" s="30">
        <f t="shared" si="79"/>
        <v>20000</v>
      </c>
      <c r="N143" s="8">
        <f t="shared" si="80"/>
        <v>20000</v>
      </c>
      <c r="O143" s="6">
        <f t="shared" si="66"/>
        <v>13580</v>
      </c>
      <c r="P143" s="6">
        <f t="shared" si="67"/>
        <v>5136</v>
      </c>
      <c r="Q143" s="6">
        <f t="shared" si="68"/>
        <v>1284</v>
      </c>
      <c r="R143" s="8"/>
      <c r="S143" s="16">
        <f t="shared" si="81"/>
        <v>20000</v>
      </c>
      <c r="T143" s="8">
        <f t="shared" si="84"/>
        <v>1630</v>
      </c>
      <c r="U143" s="6">
        <f t="shared" si="76"/>
        <v>150</v>
      </c>
      <c r="V143" s="54"/>
      <c r="W143" s="55"/>
      <c r="X143" s="6">
        <f t="shared" si="82"/>
        <v>1780</v>
      </c>
      <c r="Y143" s="16">
        <f t="shared" si="83"/>
        <v>18220</v>
      </c>
    </row>
    <row r="144" spans="1:25" ht="14.1" customHeight="1">
      <c r="A144" s="8">
        <v>138</v>
      </c>
      <c r="B144" s="38">
        <v>102304492862</v>
      </c>
      <c r="C144" s="37">
        <v>6725451587</v>
      </c>
      <c r="D144" s="37" t="s">
        <v>43</v>
      </c>
      <c r="E144" s="83" t="s">
        <v>445</v>
      </c>
      <c r="F144" s="34" t="s">
        <v>446</v>
      </c>
      <c r="G144" s="36" t="s">
        <v>447</v>
      </c>
      <c r="H144" s="4">
        <v>1579</v>
      </c>
      <c r="I144" s="12">
        <v>30</v>
      </c>
      <c r="J144" s="8">
        <v>13580</v>
      </c>
      <c r="K144" s="8">
        <v>2736</v>
      </c>
      <c r="L144" s="8">
        <v>684</v>
      </c>
      <c r="M144" s="30">
        <f t="shared" si="79"/>
        <v>17000</v>
      </c>
      <c r="N144" s="8">
        <f t="shared" si="80"/>
        <v>17000</v>
      </c>
      <c r="O144" s="6">
        <f t="shared" si="66"/>
        <v>13580</v>
      </c>
      <c r="P144" s="6">
        <f t="shared" si="67"/>
        <v>2736</v>
      </c>
      <c r="Q144" s="6">
        <f t="shared" si="68"/>
        <v>684</v>
      </c>
      <c r="R144" s="8"/>
      <c r="S144" s="16">
        <f t="shared" si="81"/>
        <v>17000</v>
      </c>
      <c r="T144" s="8">
        <f t="shared" si="84"/>
        <v>1630</v>
      </c>
      <c r="U144" s="6">
        <f t="shared" si="76"/>
        <v>128</v>
      </c>
      <c r="V144" s="54"/>
      <c r="W144" s="55"/>
      <c r="X144" s="6">
        <f t="shared" si="82"/>
        <v>1758</v>
      </c>
      <c r="Y144" s="16">
        <f t="shared" si="83"/>
        <v>15242</v>
      </c>
    </row>
    <row r="145" spans="1:25" ht="14.1" customHeight="1">
      <c r="A145" s="8">
        <v>139</v>
      </c>
      <c r="B145" s="38">
        <v>102105210940</v>
      </c>
      <c r="C145" s="37">
        <v>2113303863</v>
      </c>
      <c r="D145" s="37" t="s">
        <v>43</v>
      </c>
      <c r="E145" s="83" t="s">
        <v>448</v>
      </c>
      <c r="F145" s="34" t="s">
        <v>449</v>
      </c>
      <c r="G145" s="36" t="s">
        <v>450</v>
      </c>
      <c r="H145" s="4">
        <v>1576</v>
      </c>
      <c r="I145" s="12">
        <v>30</v>
      </c>
      <c r="J145" s="8">
        <v>13580</v>
      </c>
      <c r="K145" s="8">
        <v>2736</v>
      </c>
      <c r="L145" s="8">
        <v>684</v>
      </c>
      <c r="M145" s="30">
        <f t="shared" si="79"/>
        <v>17000</v>
      </c>
      <c r="N145" s="8">
        <f t="shared" si="80"/>
        <v>17000</v>
      </c>
      <c r="O145" s="6">
        <f t="shared" ref="O145:O177" si="85">ROUND(J145/$AA$3*I145,0)</f>
        <v>13580</v>
      </c>
      <c r="P145" s="6">
        <f t="shared" ref="P145:P177" si="86">ROUND(K145/$AA$3*I145,0)</f>
        <v>2736</v>
      </c>
      <c r="Q145" s="6">
        <f t="shared" ref="Q145:Q177" si="87">ROUND(L145/$AA$3*I145,0)</f>
        <v>684</v>
      </c>
      <c r="R145" s="8"/>
      <c r="S145" s="16">
        <f t="shared" si="81"/>
        <v>17000</v>
      </c>
      <c r="T145" s="8">
        <f t="shared" si="84"/>
        <v>1630</v>
      </c>
      <c r="U145" s="6">
        <f t="shared" si="76"/>
        <v>128</v>
      </c>
      <c r="V145" s="54"/>
      <c r="W145" s="55"/>
      <c r="X145" s="6">
        <f t="shared" si="82"/>
        <v>1758</v>
      </c>
      <c r="Y145" s="16">
        <f t="shared" si="83"/>
        <v>15242</v>
      </c>
    </row>
    <row r="146" spans="1:25" ht="14.1" customHeight="1">
      <c r="A146" s="8">
        <v>140</v>
      </c>
      <c r="B146" s="38">
        <v>102304497977</v>
      </c>
      <c r="C146" s="37">
        <v>6725449226</v>
      </c>
      <c r="D146" s="37" t="s">
        <v>43</v>
      </c>
      <c r="E146" s="83" t="s">
        <v>451</v>
      </c>
      <c r="F146" s="34" t="s">
        <v>452</v>
      </c>
      <c r="G146" s="36" t="s">
        <v>453</v>
      </c>
      <c r="H146" s="4">
        <v>1577</v>
      </c>
      <c r="I146" s="12">
        <v>29.5</v>
      </c>
      <c r="J146" s="8">
        <v>13580</v>
      </c>
      <c r="K146" s="8">
        <v>1136</v>
      </c>
      <c r="L146" s="8">
        <v>284</v>
      </c>
      <c r="M146" s="30">
        <f t="shared" si="79"/>
        <v>15000</v>
      </c>
      <c r="N146" s="8">
        <f t="shared" si="80"/>
        <v>15000</v>
      </c>
      <c r="O146" s="6">
        <f t="shared" si="85"/>
        <v>13354</v>
      </c>
      <c r="P146" s="6">
        <f t="shared" si="86"/>
        <v>1117</v>
      </c>
      <c r="Q146" s="6">
        <f t="shared" si="87"/>
        <v>279</v>
      </c>
      <c r="R146" s="8"/>
      <c r="S146" s="16">
        <f t="shared" si="81"/>
        <v>14750</v>
      </c>
      <c r="T146" s="8">
        <f t="shared" si="84"/>
        <v>1602</v>
      </c>
      <c r="U146" s="6">
        <f t="shared" si="76"/>
        <v>111</v>
      </c>
      <c r="V146" s="54"/>
      <c r="W146" s="55"/>
      <c r="X146" s="6">
        <f t="shared" si="82"/>
        <v>1713</v>
      </c>
      <c r="Y146" s="16">
        <f t="shared" si="83"/>
        <v>13037</v>
      </c>
    </row>
    <row r="147" spans="1:25" ht="14.1" customHeight="1">
      <c r="A147" s="8">
        <v>141</v>
      </c>
      <c r="B147" s="38">
        <v>102020671016</v>
      </c>
      <c r="C147" s="37">
        <v>2113103489</v>
      </c>
      <c r="D147" s="37" t="s">
        <v>43</v>
      </c>
      <c r="E147" s="83" t="s">
        <v>454</v>
      </c>
      <c r="F147" s="34" t="s">
        <v>455</v>
      </c>
      <c r="G147" s="36" t="s">
        <v>456</v>
      </c>
      <c r="H147" s="4">
        <v>1583</v>
      </c>
      <c r="I147" s="12">
        <v>29.5</v>
      </c>
      <c r="J147" s="8">
        <v>13580</v>
      </c>
      <c r="K147" s="8">
        <v>2736</v>
      </c>
      <c r="L147" s="8">
        <v>684</v>
      </c>
      <c r="M147" s="30">
        <f t="shared" si="79"/>
        <v>17000</v>
      </c>
      <c r="N147" s="8">
        <f t="shared" si="80"/>
        <v>17000</v>
      </c>
      <c r="O147" s="6">
        <f t="shared" si="85"/>
        <v>13354</v>
      </c>
      <c r="P147" s="6">
        <f t="shared" si="86"/>
        <v>2690</v>
      </c>
      <c r="Q147" s="6">
        <f t="shared" si="87"/>
        <v>673</v>
      </c>
      <c r="R147" s="8"/>
      <c r="S147" s="16">
        <f t="shared" si="81"/>
        <v>16717</v>
      </c>
      <c r="T147" s="8">
        <f t="shared" si="84"/>
        <v>1602</v>
      </c>
      <c r="U147" s="6">
        <f t="shared" si="76"/>
        <v>126</v>
      </c>
      <c r="V147" s="54"/>
      <c r="W147" s="55"/>
      <c r="X147" s="6">
        <f t="shared" si="82"/>
        <v>1728</v>
      </c>
      <c r="Y147" s="16">
        <f t="shared" si="83"/>
        <v>14989</v>
      </c>
    </row>
    <row r="148" spans="1:25" ht="14.1" customHeight="1">
      <c r="A148" s="8">
        <v>142</v>
      </c>
      <c r="B148" s="38">
        <v>102304502018</v>
      </c>
      <c r="C148" s="37">
        <v>6725449344</v>
      </c>
      <c r="D148" s="37" t="s">
        <v>43</v>
      </c>
      <c r="E148" s="83" t="s">
        <v>457</v>
      </c>
      <c r="F148" s="34" t="s">
        <v>458</v>
      </c>
      <c r="G148" s="36" t="s">
        <v>459</v>
      </c>
      <c r="H148" s="4">
        <v>1580</v>
      </c>
      <c r="I148" s="12">
        <v>29</v>
      </c>
      <c r="J148" s="8">
        <v>13580</v>
      </c>
      <c r="K148" s="8">
        <v>1136</v>
      </c>
      <c r="L148" s="8">
        <v>284</v>
      </c>
      <c r="M148" s="30">
        <f t="shared" si="79"/>
        <v>15000</v>
      </c>
      <c r="N148" s="8">
        <f t="shared" si="80"/>
        <v>15000</v>
      </c>
      <c r="O148" s="6">
        <f t="shared" si="85"/>
        <v>13127</v>
      </c>
      <c r="P148" s="6">
        <f t="shared" si="86"/>
        <v>1098</v>
      </c>
      <c r="Q148" s="6">
        <f t="shared" si="87"/>
        <v>275</v>
      </c>
      <c r="R148" s="8"/>
      <c r="S148" s="16">
        <f t="shared" si="81"/>
        <v>14500</v>
      </c>
      <c r="T148" s="8">
        <f t="shared" si="84"/>
        <v>1575</v>
      </c>
      <c r="U148" s="6">
        <f t="shared" si="76"/>
        <v>109</v>
      </c>
      <c r="V148" s="54"/>
      <c r="W148" s="55"/>
      <c r="X148" s="6">
        <f t="shared" si="82"/>
        <v>1684</v>
      </c>
      <c r="Y148" s="16">
        <f t="shared" si="83"/>
        <v>12816</v>
      </c>
    </row>
    <row r="149" spans="1:25" ht="14.1" customHeight="1">
      <c r="A149" s="8">
        <v>143</v>
      </c>
      <c r="B149" s="38">
        <v>102304498963</v>
      </c>
      <c r="C149" s="37">
        <v>6725448984</v>
      </c>
      <c r="D149" s="37" t="s">
        <v>43</v>
      </c>
      <c r="E149" s="83" t="s">
        <v>460</v>
      </c>
      <c r="F149" s="34" t="s">
        <v>461</v>
      </c>
      <c r="G149" s="36" t="s">
        <v>462</v>
      </c>
      <c r="H149" s="4">
        <v>1582</v>
      </c>
      <c r="I149" s="12">
        <v>28.5</v>
      </c>
      <c r="J149" s="8">
        <v>13580</v>
      </c>
      <c r="K149" s="8">
        <v>2736</v>
      </c>
      <c r="L149" s="8">
        <v>684</v>
      </c>
      <c r="M149" s="30">
        <f t="shared" si="79"/>
        <v>17000</v>
      </c>
      <c r="N149" s="8">
        <f t="shared" si="80"/>
        <v>17000</v>
      </c>
      <c r="O149" s="6">
        <f t="shared" si="85"/>
        <v>12901</v>
      </c>
      <c r="P149" s="6">
        <f t="shared" si="86"/>
        <v>2599</v>
      </c>
      <c r="Q149" s="6">
        <f t="shared" si="87"/>
        <v>650</v>
      </c>
      <c r="R149" s="8"/>
      <c r="S149" s="16">
        <f t="shared" si="81"/>
        <v>16150</v>
      </c>
      <c r="T149" s="8">
        <f t="shared" si="84"/>
        <v>1548</v>
      </c>
      <c r="U149" s="6">
        <f t="shared" si="76"/>
        <v>122</v>
      </c>
      <c r="V149" s="54"/>
      <c r="W149" s="55"/>
      <c r="X149" s="6">
        <f t="shared" si="82"/>
        <v>1670</v>
      </c>
      <c r="Y149" s="16">
        <f t="shared" si="83"/>
        <v>14480</v>
      </c>
    </row>
    <row r="150" spans="1:25" ht="14.1" customHeight="1">
      <c r="A150" s="8">
        <v>144</v>
      </c>
      <c r="B150" s="38">
        <v>102304517320</v>
      </c>
      <c r="C150" s="37">
        <v>6725451850</v>
      </c>
      <c r="D150" s="37" t="s">
        <v>43</v>
      </c>
      <c r="E150" s="83" t="s">
        <v>463</v>
      </c>
      <c r="F150" s="34" t="s">
        <v>464</v>
      </c>
      <c r="G150" s="36" t="s">
        <v>465</v>
      </c>
      <c r="H150" s="4">
        <v>1598</v>
      </c>
      <c r="I150" s="12">
        <v>29</v>
      </c>
      <c r="J150" s="8">
        <v>13580</v>
      </c>
      <c r="K150" s="8">
        <v>5136</v>
      </c>
      <c r="L150" s="8">
        <v>1284</v>
      </c>
      <c r="M150" s="30">
        <f t="shared" si="79"/>
        <v>20000</v>
      </c>
      <c r="N150" s="8">
        <f t="shared" si="80"/>
        <v>20000</v>
      </c>
      <c r="O150" s="6">
        <f t="shared" si="85"/>
        <v>13127</v>
      </c>
      <c r="P150" s="6">
        <f t="shared" si="86"/>
        <v>4965</v>
      </c>
      <c r="Q150" s="6">
        <f t="shared" si="87"/>
        <v>1241</v>
      </c>
      <c r="R150" s="8"/>
      <c r="S150" s="16">
        <f t="shared" si="81"/>
        <v>19333</v>
      </c>
      <c r="T150" s="8">
        <f t="shared" si="84"/>
        <v>1575</v>
      </c>
      <c r="U150" s="6">
        <f t="shared" si="76"/>
        <v>145</v>
      </c>
      <c r="V150" s="54"/>
      <c r="W150" s="55"/>
      <c r="X150" s="6">
        <f t="shared" si="82"/>
        <v>1720</v>
      </c>
      <c r="Y150" s="16">
        <f t="shared" si="83"/>
        <v>17613</v>
      </c>
    </row>
    <row r="151" spans="1:25" ht="14.1" customHeight="1">
      <c r="A151" s="8">
        <v>145</v>
      </c>
      <c r="B151" s="38">
        <v>101945133050</v>
      </c>
      <c r="C151" s="37">
        <v>2019005908</v>
      </c>
      <c r="D151" s="37" t="s">
        <v>43</v>
      </c>
      <c r="E151" s="83" t="s">
        <v>466</v>
      </c>
      <c r="F151" s="34" t="s">
        <v>467</v>
      </c>
      <c r="G151" s="36" t="s">
        <v>468</v>
      </c>
      <c r="H151" s="4">
        <v>1597</v>
      </c>
      <c r="I151" s="12">
        <v>28.5</v>
      </c>
      <c r="J151" s="8">
        <v>13580</v>
      </c>
      <c r="K151" s="8">
        <v>2736</v>
      </c>
      <c r="L151" s="8">
        <v>684</v>
      </c>
      <c r="M151" s="30">
        <f t="shared" si="79"/>
        <v>17000</v>
      </c>
      <c r="N151" s="8">
        <f t="shared" si="80"/>
        <v>17000</v>
      </c>
      <c r="O151" s="6">
        <f t="shared" si="85"/>
        <v>12901</v>
      </c>
      <c r="P151" s="6">
        <f t="shared" si="86"/>
        <v>2599</v>
      </c>
      <c r="Q151" s="6">
        <f t="shared" si="87"/>
        <v>650</v>
      </c>
      <c r="R151" s="8"/>
      <c r="S151" s="16">
        <f t="shared" si="81"/>
        <v>16150</v>
      </c>
      <c r="T151" s="8">
        <f t="shared" si="84"/>
        <v>1548</v>
      </c>
      <c r="U151" s="6">
        <f t="shared" si="76"/>
        <v>122</v>
      </c>
      <c r="V151" s="54"/>
      <c r="W151" s="55"/>
      <c r="X151" s="6">
        <f t="shared" si="82"/>
        <v>1670</v>
      </c>
      <c r="Y151" s="16">
        <f t="shared" si="83"/>
        <v>14480</v>
      </c>
    </row>
    <row r="152" spans="1:25" ht="14.1" customHeight="1">
      <c r="A152" s="8">
        <v>146</v>
      </c>
      <c r="B152" s="38">
        <v>102305967255</v>
      </c>
      <c r="C152" s="37">
        <v>6725458991</v>
      </c>
      <c r="D152" s="37" t="s">
        <v>43</v>
      </c>
      <c r="E152" s="83" t="s">
        <v>469</v>
      </c>
      <c r="F152" s="34" t="s">
        <v>470</v>
      </c>
      <c r="G152" s="36" t="s">
        <v>471</v>
      </c>
      <c r="H152" s="4">
        <v>1714</v>
      </c>
      <c r="I152" s="12">
        <v>30</v>
      </c>
      <c r="J152" s="8">
        <v>13580</v>
      </c>
      <c r="K152" s="8">
        <v>1136</v>
      </c>
      <c r="L152" s="8">
        <v>284</v>
      </c>
      <c r="M152" s="30">
        <f t="shared" si="79"/>
        <v>15000</v>
      </c>
      <c r="N152" s="8">
        <f t="shared" si="80"/>
        <v>15000</v>
      </c>
      <c r="O152" s="6">
        <f t="shared" si="85"/>
        <v>13580</v>
      </c>
      <c r="P152" s="6">
        <f t="shared" si="86"/>
        <v>1136</v>
      </c>
      <c r="Q152" s="6">
        <f t="shared" si="87"/>
        <v>284</v>
      </c>
      <c r="R152" s="8"/>
      <c r="S152" s="16">
        <f t="shared" si="81"/>
        <v>15000</v>
      </c>
      <c r="T152" s="8">
        <f t="shared" si="84"/>
        <v>1630</v>
      </c>
      <c r="U152" s="6">
        <f t="shared" si="76"/>
        <v>113</v>
      </c>
      <c r="V152" s="54"/>
      <c r="W152" s="55"/>
      <c r="X152" s="6">
        <f t="shared" si="82"/>
        <v>1743</v>
      </c>
      <c r="Y152" s="16">
        <f t="shared" si="83"/>
        <v>13257</v>
      </c>
    </row>
    <row r="153" spans="1:25" ht="14.1" customHeight="1">
      <c r="A153" s="8">
        <v>147</v>
      </c>
      <c r="B153" s="38">
        <v>102304531504</v>
      </c>
      <c r="C153" s="37">
        <v>6725449276</v>
      </c>
      <c r="D153" s="37" t="s">
        <v>43</v>
      </c>
      <c r="E153" s="83" t="s">
        <v>472</v>
      </c>
      <c r="F153" s="34" t="s">
        <v>473</v>
      </c>
      <c r="G153" s="36" t="s">
        <v>474</v>
      </c>
      <c r="H153" s="4">
        <v>1627</v>
      </c>
      <c r="I153" s="12">
        <v>29.5</v>
      </c>
      <c r="J153" s="8">
        <v>13580</v>
      </c>
      <c r="K153" s="8">
        <v>2736</v>
      </c>
      <c r="L153" s="8">
        <v>684</v>
      </c>
      <c r="M153" s="30">
        <f t="shared" si="79"/>
        <v>17000</v>
      </c>
      <c r="N153" s="8">
        <f t="shared" si="80"/>
        <v>17000</v>
      </c>
      <c r="O153" s="6">
        <f t="shared" si="85"/>
        <v>13354</v>
      </c>
      <c r="P153" s="6">
        <f t="shared" si="86"/>
        <v>2690</v>
      </c>
      <c r="Q153" s="6">
        <f t="shared" si="87"/>
        <v>673</v>
      </c>
      <c r="R153" s="8"/>
      <c r="S153" s="16">
        <f t="shared" si="81"/>
        <v>16717</v>
      </c>
      <c r="T153" s="8">
        <f t="shared" si="84"/>
        <v>1602</v>
      </c>
      <c r="U153" s="6">
        <f t="shared" si="76"/>
        <v>126</v>
      </c>
      <c r="V153" s="54"/>
      <c r="W153" s="55"/>
      <c r="X153" s="6">
        <f t="shared" si="82"/>
        <v>1728</v>
      </c>
      <c r="Y153" s="16">
        <f t="shared" si="83"/>
        <v>14989</v>
      </c>
    </row>
    <row r="154" spans="1:25" ht="14.1" customHeight="1">
      <c r="A154" s="8">
        <v>148</v>
      </c>
      <c r="B154" s="38">
        <v>101825521369</v>
      </c>
      <c r="C154" s="37">
        <v>6721103322</v>
      </c>
      <c r="D154" s="37" t="s">
        <v>43</v>
      </c>
      <c r="E154" s="83" t="s">
        <v>475</v>
      </c>
      <c r="F154" s="34" t="s">
        <v>476</v>
      </c>
      <c r="G154" s="36" t="s">
        <v>477</v>
      </c>
      <c r="H154" s="4">
        <v>1629</v>
      </c>
      <c r="I154" s="12">
        <v>22</v>
      </c>
      <c r="J154" s="8">
        <v>13580</v>
      </c>
      <c r="K154" s="8">
        <v>2736</v>
      </c>
      <c r="L154" s="8">
        <v>684</v>
      </c>
      <c r="M154" s="30">
        <f t="shared" si="79"/>
        <v>17000</v>
      </c>
      <c r="N154" s="8">
        <f t="shared" si="80"/>
        <v>17000</v>
      </c>
      <c r="O154" s="6">
        <f t="shared" si="85"/>
        <v>9959</v>
      </c>
      <c r="P154" s="6">
        <f t="shared" si="86"/>
        <v>2006</v>
      </c>
      <c r="Q154" s="6">
        <f t="shared" si="87"/>
        <v>502</v>
      </c>
      <c r="R154" s="8"/>
      <c r="S154" s="16">
        <f t="shared" si="81"/>
        <v>12467</v>
      </c>
      <c r="T154" s="8">
        <f t="shared" si="84"/>
        <v>1195</v>
      </c>
      <c r="U154" s="6">
        <f t="shared" si="76"/>
        <v>94</v>
      </c>
      <c r="V154" s="54"/>
      <c r="W154" s="55"/>
      <c r="X154" s="6">
        <f t="shared" si="82"/>
        <v>1289</v>
      </c>
      <c r="Y154" s="16">
        <f t="shared" si="83"/>
        <v>11178</v>
      </c>
    </row>
    <row r="155" spans="1:25" s="80" customFormat="1" ht="14.1" customHeight="1">
      <c r="A155" s="8">
        <v>149</v>
      </c>
      <c r="B155" s="70">
        <v>101763686883</v>
      </c>
      <c r="C155" s="71">
        <v>6725458999</v>
      </c>
      <c r="D155" s="71" t="s">
        <v>43</v>
      </c>
      <c r="E155" s="85" t="s">
        <v>478</v>
      </c>
      <c r="F155" s="72" t="s">
        <v>479</v>
      </c>
      <c r="G155" s="73" t="s">
        <v>480</v>
      </c>
      <c r="H155" s="74">
        <v>1710</v>
      </c>
      <c r="I155" s="75">
        <v>1</v>
      </c>
      <c r="J155" s="44">
        <v>13580</v>
      </c>
      <c r="K155" s="44">
        <v>1136</v>
      </c>
      <c r="L155" s="44">
        <v>284</v>
      </c>
      <c r="M155" s="45">
        <f t="shared" si="79"/>
        <v>15000</v>
      </c>
      <c r="N155" s="44">
        <f t="shared" si="80"/>
        <v>15000</v>
      </c>
      <c r="O155" s="46">
        <f t="shared" si="85"/>
        <v>453</v>
      </c>
      <c r="P155" s="46">
        <f t="shared" si="86"/>
        <v>38</v>
      </c>
      <c r="Q155" s="46">
        <f t="shared" si="87"/>
        <v>9</v>
      </c>
      <c r="R155" s="44"/>
      <c r="S155" s="76">
        <f t="shared" si="81"/>
        <v>500</v>
      </c>
      <c r="T155" s="44">
        <f t="shared" si="84"/>
        <v>54</v>
      </c>
      <c r="U155" s="46">
        <f t="shared" ref="U155" si="88">ROUNDUP(S155*0.75/100,0)</f>
        <v>4</v>
      </c>
      <c r="V155" s="78"/>
      <c r="W155" s="79"/>
      <c r="X155" s="46">
        <f t="shared" si="82"/>
        <v>58</v>
      </c>
      <c r="Y155" s="76">
        <f t="shared" si="83"/>
        <v>442</v>
      </c>
    </row>
    <row r="156" spans="1:25" ht="14.1" customHeight="1">
      <c r="A156" s="8">
        <v>150</v>
      </c>
      <c r="B156" s="22">
        <v>102224789297</v>
      </c>
      <c r="C156" s="37">
        <v>6725532774</v>
      </c>
      <c r="D156" s="37"/>
      <c r="E156" s="83" t="s">
        <v>481</v>
      </c>
      <c r="F156" s="34" t="s">
        <v>482</v>
      </c>
      <c r="G156" s="36" t="s">
        <v>483</v>
      </c>
      <c r="H156" s="4">
        <v>1826</v>
      </c>
      <c r="I156" s="12">
        <v>29.5</v>
      </c>
      <c r="J156" s="8">
        <v>13580</v>
      </c>
      <c r="K156" s="8">
        <v>4420</v>
      </c>
      <c r="L156" s="8">
        <v>0</v>
      </c>
      <c r="M156" s="30">
        <f t="shared" ref="M156:M177" si="89">J156+K156+L156</f>
        <v>18000</v>
      </c>
      <c r="N156" s="8">
        <f t="shared" ref="N156:N177" si="90">M156</f>
        <v>18000</v>
      </c>
      <c r="O156" s="6">
        <f t="shared" si="85"/>
        <v>13354</v>
      </c>
      <c r="P156" s="6">
        <f t="shared" si="86"/>
        <v>4346</v>
      </c>
      <c r="Q156" s="6">
        <f t="shared" si="87"/>
        <v>0</v>
      </c>
      <c r="R156" s="8"/>
      <c r="S156" s="16">
        <f t="shared" ref="S156:S177" si="91">O156+P156+Q156</f>
        <v>17700</v>
      </c>
      <c r="T156" s="8">
        <f t="shared" si="84"/>
        <v>1602</v>
      </c>
      <c r="U156" s="6">
        <f t="shared" ref="U156:U176" si="92">ROUNDUP(S156*0.75/100,0)</f>
        <v>133</v>
      </c>
      <c r="V156" s="54"/>
      <c r="W156" s="55"/>
      <c r="X156" s="6">
        <f t="shared" ref="X156:X177" si="93">T156+U156+V156+W156</f>
        <v>1735</v>
      </c>
      <c r="Y156" s="16">
        <f t="shared" ref="Y156:Y177" si="94">S156-X156</f>
        <v>15965</v>
      </c>
    </row>
    <row r="157" spans="1:25" ht="14.1" customHeight="1">
      <c r="A157" s="8">
        <v>151</v>
      </c>
      <c r="B157" s="22">
        <v>102254989099</v>
      </c>
      <c r="C157" s="37">
        <v>6725532936</v>
      </c>
      <c r="D157" s="37"/>
      <c r="E157" s="83" t="s">
        <v>484</v>
      </c>
      <c r="F157" s="34" t="s">
        <v>485</v>
      </c>
      <c r="G157" s="36" t="s">
        <v>486</v>
      </c>
      <c r="H157" s="4">
        <v>1827</v>
      </c>
      <c r="I157" s="12">
        <v>30</v>
      </c>
      <c r="J157" s="8">
        <v>13580</v>
      </c>
      <c r="K157" s="8">
        <v>6420</v>
      </c>
      <c r="L157" s="8">
        <v>0</v>
      </c>
      <c r="M157" s="30">
        <f t="shared" si="89"/>
        <v>20000</v>
      </c>
      <c r="N157" s="8">
        <f t="shared" si="90"/>
        <v>20000</v>
      </c>
      <c r="O157" s="6">
        <f t="shared" si="85"/>
        <v>13580</v>
      </c>
      <c r="P157" s="6">
        <f t="shared" si="86"/>
        <v>6420</v>
      </c>
      <c r="Q157" s="6">
        <f t="shared" si="87"/>
        <v>0</v>
      </c>
      <c r="R157" s="8"/>
      <c r="S157" s="16">
        <f t="shared" si="91"/>
        <v>20000</v>
      </c>
      <c r="T157" s="8">
        <f t="shared" si="84"/>
        <v>1630</v>
      </c>
      <c r="U157" s="6">
        <f t="shared" si="92"/>
        <v>150</v>
      </c>
      <c r="V157" s="54"/>
      <c r="W157" s="55"/>
      <c r="X157" s="6">
        <f t="shared" si="93"/>
        <v>1780</v>
      </c>
      <c r="Y157" s="16">
        <f t="shared" si="94"/>
        <v>18220</v>
      </c>
    </row>
    <row r="158" spans="1:25" s="80" customFormat="1" ht="14.1" customHeight="1">
      <c r="A158" s="8">
        <v>152</v>
      </c>
      <c r="B158" s="70">
        <v>102314559391</v>
      </c>
      <c r="C158" s="71">
        <v>6725536232</v>
      </c>
      <c r="D158" s="71"/>
      <c r="E158" s="85" t="s">
        <v>487</v>
      </c>
      <c r="F158" s="72" t="s">
        <v>488</v>
      </c>
      <c r="G158" s="73" t="s">
        <v>489</v>
      </c>
      <c r="H158" s="74"/>
      <c r="I158" s="75">
        <v>7</v>
      </c>
      <c r="J158" s="44">
        <v>13580</v>
      </c>
      <c r="K158" s="44">
        <v>4420</v>
      </c>
      <c r="L158" s="44">
        <v>0</v>
      </c>
      <c r="M158" s="45">
        <f t="shared" si="89"/>
        <v>18000</v>
      </c>
      <c r="N158" s="44">
        <f t="shared" si="90"/>
        <v>18000</v>
      </c>
      <c r="O158" s="46">
        <f t="shared" si="85"/>
        <v>3169</v>
      </c>
      <c r="P158" s="46">
        <f t="shared" si="86"/>
        <v>1031</v>
      </c>
      <c r="Q158" s="46">
        <f t="shared" si="87"/>
        <v>0</v>
      </c>
      <c r="R158" s="44"/>
      <c r="S158" s="76">
        <f t="shared" si="91"/>
        <v>4200</v>
      </c>
      <c r="T158" s="44">
        <f t="shared" si="84"/>
        <v>380</v>
      </c>
      <c r="U158" s="46">
        <f t="shared" si="92"/>
        <v>32</v>
      </c>
      <c r="V158" s="78"/>
      <c r="W158" s="79"/>
      <c r="X158" s="46">
        <f t="shared" si="93"/>
        <v>412</v>
      </c>
      <c r="Y158" s="76">
        <f t="shared" si="94"/>
        <v>3788</v>
      </c>
    </row>
    <row r="159" spans="1:25" ht="14.1" customHeight="1">
      <c r="A159" s="8">
        <v>153</v>
      </c>
      <c r="B159" s="22">
        <v>102314559793</v>
      </c>
      <c r="C159" s="37">
        <v>6725536245</v>
      </c>
      <c r="D159" s="37"/>
      <c r="E159" s="83" t="s">
        <v>490</v>
      </c>
      <c r="F159" s="34" t="s">
        <v>491</v>
      </c>
      <c r="G159" s="36" t="s">
        <v>492</v>
      </c>
      <c r="H159" s="4">
        <v>1828</v>
      </c>
      <c r="I159" s="12">
        <v>30</v>
      </c>
      <c r="J159" s="8">
        <v>13580</v>
      </c>
      <c r="K159" s="8">
        <v>6420</v>
      </c>
      <c r="L159" s="8">
        <v>0</v>
      </c>
      <c r="M159" s="30">
        <f t="shared" si="89"/>
        <v>20000</v>
      </c>
      <c r="N159" s="8">
        <f t="shared" si="90"/>
        <v>20000</v>
      </c>
      <c r="O159" s="6">
        <f t="shared" si="85"/>
        <v>13580</v>
      </c>
      <c r="P159" s="6">
        <f t="shared" si="86"/>
        <v>6420</v>
      </c>
      <c r="Q159" s="6">
        <f t="shared" si="87"/>
        <v>0</v>
      </c>
      <c r="R159" s="8"/>
      <c r="S159" s="16">
        <f t="shared" si="91"/>
        <v>20000</v>
      </c>
      <c r="T159" s="8">
        <f t="shared" si="84"/>
        <v>1630</v>
      </c>
      <c r="U159" s="6">
        <f t="shared" si="92"/>
        <v>150</v>
      </c>
      <c r="V159" s="54"/>
      <c r="W159" s="55"/>
      <c r="X159" s="6">
        <f t="shared" si="93"/>
        <v>1780</v>
      </c>
      <c r="Y159" s="16">
        <f t="shared" si="94"/>
        <v>18220</v>
      </c>
    </row>
    <row r="160" spans="1:25" ht="14.1" customHeight="1">
      <c r="A160" s="8">
        <v>154</v>
      </c>
      <c r="B160" s="22">
        <v>102314564856</v>
      </c>
      <c r="C160" s="37">
        <v>1015002059</v>
      </c>
      <c r="D160" s="37"/>
      <c r="E160" s="83" t="s">
        <v>493</v>
      </c>
      <c r="F160" s="34" t="s">
        <v>494</v>
      </c>
      <c r="G160" s="36" t="s">
        <v>495</v>
      </c>
      <c r="H160" s="4">
        <v>1829</v>
      </c>
      <c r="I160" s="12">
        <v>30</v>
      </c>
      <c r="J160" s="8">
        <v>13580</v>
      </c>
      <c r="K160" s="8">
        <v>4420</v>
      </c>
      <c r="L160" s="8">
        <v>0</v>
      </c>
      <c r="M160" s="30">
        <f t="shared" si="89"/>
        <v>18000</v>
      </c>
      <c r="N160" s="8">
        <f t="shared" si="90"/>
        <v>18000</v>
      </c>
      <c r="O160" s="6">
        <f t="shared" si="85"/>
        <v>13580</v>
      </c>
      <c r="P160" s="6">
        <f t="shared" si="86"/>
        <v>4420</v>
      </c>
      <c r="Q160" s="6">
        <f t="shared" si="87"/>
        <v>0</v>
      </c>
      <c r="R160" s="8"/>
      <c r="S160" s="16">
        <f t="shared" si="91"/>
        <v>18000</v>
      </c>
      <c r="T160" s="8">
        <f t="shared" ref="T160:T177" si="95">ROUND(IF(J160&gt;15000,(15000/$AA$3*I160)*12%,O160*12%)*1,0)</f>
        <v>1630</v>
      </c>
      <c r="U160" s="6">
        <f t="shared" si="92"/>
        <v>135</v>
      </c>
      <c r="V160" s="54"/>
      <c r="W160" s="55"/>
      <c r="X160" s="6">
        <f t="shared" si="93"/>
        <v>1765</v>
      </c>
      <c r="Y160" s="16">
        <f t="shared" si="94"/>
        <v>16235</v>
      </c>
    </row>
    <row r="161" spans="1:25" ht="14.1" customHeight="1">
      <c r="A161" s="8">
        <v>155</v>
      </c>
      <c r="B161" s="22">
        <v>102282872218</v>
      </c>
      <c r="C161" s="37">
        <v>2019860477</v>
      </c>
      <c r="D161" s="37"/>
      <c r="E161" s="83" t="s">
        <v>496</v>
      </c>
      <c r="F161" s="34" t="s">
        <v>497</v>
      </c>
      <c r="G161" s="36" t="s">
        <v>498</v>
      </c>
      <c r="H161" s="4">
        <v>1830</v>
      </c>
      <c r="I161" s="12">
        <v>30</v>
      </c>
      <c r="J161" s="8">
        <v>13580</v>
      </c>
      <c r="K161" s="8">
        <v>6420</v>
      </c>
      <c r="L161" s="8">
        <v>0</v>
      </c>
      <c r="M161" s="30">
        <f t="shared" si="89"/>
        <v>20000</v>
      </c>
      <c r="N161" s="8">
        <f t="shared" si="90"/>
        <v>20000</v>
      </c>
      <c r="O161" s="6">
        <f t="shared" si="85"/>
        <v>13580</v>
      </c>
      <c r="P161" s="6">
        <f t="shared" si="86"/>
        <v>6420</v>
      </c>
      <c r="Q161" s="6">
        <f t="shared" si="87"/>
        <v>0</v>
      </c>
      <c r="R161" s="8"/>
      <c r="S161" s="16">
        <f t="shared" si="91"/>
        <v>20000</v>
      </c>
      <c r="T161" s="8">
        <f t="shared" si="95"/>
        <v>1630</v>
      </c>
      <c r="U161" s="6">
        <f t="shared" si="92"/>
        <v>150</v>
      </c>
      <c r="V161" s="54"/>
      <c r="W161" s="55"/>
      <c r="X161" s="6">
        <f t="shared" si="93"/>
        <v>1780</v>
      </c>
      <c r="Y161" s="16">
        <f t="shared" si="94"/>
        <v>18220</v>
      </c>
    </row>
    <row r="162" spans="1:25" ht="14.1" customHeight="1">
      <c r="A162" s="8">
        <v>156</v>
      </c>
      <c r="B162" s="22">
        <v>101392631607</v>
      </c>
      <c r="C162" s="37">
        <v>6725536265</v>
      </c>
      <c r="D162" s="37"/>
      <c r="E162" s="83" t="s">
        <v>499</v>
      </c>
      <c r="F162" s="34" t="s">
        <v>500</v>
      </c>
      <c r="G162" s="36" t="s">
        <v>501</v>
      </c>
      <c r="H162" s="4">
        <v>1839</v>
      </c>
      <c r="I162" s="12">
        <v>30</v>
      </c>
      <c r="J162" s="8">
        <v>13580</v>
      </c>
      <c r="K162" s="8">
        <v>6420</v>
      </c>
      <c r="L162" s="8">
        <v>0</v>
      </c>
      <c r="M162" s="30">
        <f t="shared" si="89"/>
        <v>20000</v>
      </c>
      <c r="N162" s="8">
        <f t="shared" si="90"/>
        <v>20000</v>
      </c>
      <c r="O162" s="6">
        <f t="shared" si="85"/>
        <v>13580</v>
      </c>
      <c r="P162" s="6">
        <f t="shared" si="86"/>
        <v>6420</v>
      </c>
      <c r="Q162" s="6">
        <f t="shared" si="87"/>
        <v>0</v>
      </c>
      <c r="R162" s="8"/>
      <c r="S162" s="16">
        <f t="shared" si="91"/>
        <v>20000</v>
      </c>
      <c r="T162" s="8">
        <f t="shared" si="95"/>
        <v>1630</v>
      </c>
      <c r="U162" s="6">
        <f t="shared" si="92"/>
        <v>150</v>
      </c>
      <c r="V162" s="54"/>
      <c r="W162" s="55"/>
      <c r="X162" s="6">
        <f t="shared" si="93"/>
        <v>1780</v>
      </c>
      <c r="Y162" s="16">
        <f t="shared" si="94"/>
        <v>18220</v>
      </c>
    </row>
    <row r="163" spans="1:25" ht="14.1" customHeight="1">
      <c r="A163" s="8">
        <v>157</v>
      </c>
      <c r="B163" s="22">
        <v>101907845658</v>
      </c>
      <c r="C163" s="37">
        <v>6725541712</v>
      </c>
      <c r="D163" s="37"/>
      <c r="E163" s="83" t="s">
        <v>502</v>
      </c>
      <c r="F163" s="34" t="s">
        <v>503</v>
      </c>
      <c r="G163" s="36" t="s">
        <v>504</v>
      </c>
      <c r="H163" s="4">
        <v>1831</v>
      </c>
      <c r="I163" s="12">
        <v>30</v>
      </c>
      <c r="J163" s="8">
        <v>13580</v>
      </c>
      <c r="K163" s="8">
        <v>6420</v>
      </c>
      <c r="L163" s="8">
        <v>0</v>
      </c>
      <c r="M163" s="30">
        <f t="shared" si="89"/>
        <v>20000</v>
      </c>
      <c r="N163" s="8">
        <f t="shared" si="90"/>
        <v>20000</v>
      </c>
      <c r="O163" s="6">
        <f t="shared" si="85"/>
        <v>13580</v>
      </c>
      <c r="P163" s="6">
        <f t="shared" si="86"/>
        <v>6420</v>
      </c>
      <c r="Q163" s="6">
        <f t="shared" si="87"/>
        <v>0</v>
      </c>
      <c r="R163" s="8"/>
      <c r="S163" s="16">
        <f t="shared" si="91"/>
        <v>20000</v>
      </c>
      <c r="T163" s="8">
        <f t="shared" si="95"/>
        <v>1630</v>
      </c>
      <c r="U163" s="6">
        <f t="shared" si="92"/>
        <v>150</v>
      </c>
      <c r="V163" s="54"/>
      <c r="W163" s="55"/>
      <c r="X163" s="6">
        <f t="shared" si="93"/>
        <v>1780</v>
      </c>
      <c r="Y163" s="16">
        <f t="shared" si="94"/>
        <v>18220</v>
      </c>
    </row>
    <row r="164" spans="1:25" ht="14.1" customHeight="1">
      <c r="A164" s="8">
        <v>158</v>
      </c>
      <c r="B164" s="22">
        <v>102250710731</v>
      </c>
      <c r="C164" s="37">
        <v>6725539372</v>
      </c>
      <c r="D164" s="37"/>
      <c r="E164" s="83" t="s">
        <v>505</v>
      </c>
      <c r="F164" s="34" t="s">
        <v>506</v>
      </c>
      <c r="G164" s="36" t="s">
        <v>507</v>
      </c>
      <c r="H164" s="4">
        <v>1832</v>
      </c>
      <c r="I164" s="12">
        <v>30</v>
      </c>
      <c r="J164" s="8">
        <v>13580</v>
      </c>
      <c r="K164" s="8">
        <v>4420</v>
      </c>
      <c r="L164" s="8">
        <v>0</v>
      </c>
      <c r="M164" s="30">
        <f t="shared" si="89"/>
        <v>18000</v>
      </c>
      <c r="N164" s="8">
        <f t="shared" si="90"/>
        <v>18000</v>
      </c>
      <c r="O164" s="6">
        <f t="shared" si="85"/>
        <v>13580</v>
      </c>
      <c r="P164" s="6">
        <f t="shared" si="86"/>
        <v>4420</v>
      </c>
      <c r="Q164" s="6">
        <f t="shared" si="87"/>
        <v>0</v>
      </c>
      <c r="R164" s="8"/>
      <c r="S164" s="16">
        <f t="shared" si="91"/>
        <v>18000</v>
      </c>
      <c r="T164" s="8">
        <f t="shared" si="95"/>
        <v>1630</v>
      </c>
      <c r="U164" s="6">
        <f t="shared" si="92"/>
        <v>135</v>
      </c>
      <c r="V164" s="54"/>
      <c r="W164" s="55"/>
      <c r="X164" s="6">
        <f t="shared" si="93"/>
        <v>1765</v>
      </c>
      <c r="Y164" s="16">
        <f t="shared" si="94"/>
        <v>16235</v>
      </c>
    </row>
    <row r="165" spans="1:25" ht="14.1" customHeight="1">
      <c r="A165" s="8">
        <v>159</v>
      </c>
      <c r="B165" s="22">
        <v>102316518230</v>
      </c>
      <c r="C165" s="37" t="s">
        <v>30</v>
      </c>
      <c r="D165" s="37"/>
      <c r="E165" s="83" t="s">
        <v>508</v>
      </c>
      <c r="F165" s="34" t="s">
        <v>509</v>
      </c>
      <c r="G165" s="36" t="s">
        <v>510</v>
      </c>
      <c r="H165" s="4">
        <v>1833</v>
      </c>
      <c r="I165" s="12">
        <v>30</v>
      </c>
      <c r="J165" s="8">
        <v>13580</v>
      </c>
      <c r="K165" s="8">
        <v>9200</v>
      </c>
      <c r="L165" s="8">
        <v>220</v>
      </c>
      <c r="M165" s="30">
        <f t="shared" si="89"/>
        <v>23000</v>
      </c>
      <c r="N165" s="8">
        <f t="shared" si="90"/>
        <v>23000</v>
      </c>
      <c r="O165" s="6">
        <f t="shared" si="85"/>
        <v>13580</v>
      </c>
      <c r="P165" s="6">
        <f t="shared" si="86"/>
        <v>9200</v>
      </c>
      <c r="Q165" s="6">
        <f t="shared" si="87"/>
        <v>220</v>
      </c>
      <c r="R165" s="8"/>
      <c r="S165" s="16">
        <f t="shared" si="91"/>
        <v>23000</v>
      </c>
      <c r="T165" s="8">
        <f t="shared" si="95"/>
        <v>1630</v>
      </c>
      <c r="U165" s="53">
        <v>0</v>
      </c>
      <c r="V165" s="54"/>
      <c r="W165" s="55"/>
      <c r="X165" s="6">
        <f t="shared" si="93"/>
        <v>1630</v>
      </c>
      <c r="Y165" s="16">
        <f t="shared" si="94"/>
        <v>21370</v>
      </c>
    </row>
    <row r="166" spans="1:25" ht="14.1" customHeight="1">
      <c r="A166" s="8">
        <v>160</v>
      </c>
      <c r="B166" s="22">
        <v>102315033289</v>
      </c>
      <c r="C166" s="37">
        <v>6725539378</v>
      </c>
      <c r="D166" s="37"/>
      <c r="E166" s="83" t="s">
        <v>511</v>
      </c>
      <c r="F166" s="34" t="s">
        <v>512</v>
      </c>
      <c r="G166" s="36" t="s">
        <v>513</v>
      </c>
      <c r="H166" s="4">
        <v>1834</v>
      </c>
      <c r="I166" s="12">
        <v>30</v>
      </c>
      <c r="J166" s="8">
        <v>13580</v>
      </c>
      <c r="K166" s="8">
        <v>6420</v>
      </c>
      <c r="L166" s="8">
        <v>0</v>
      </c>
      <c r="M166" s="30">
        <f t="shared" si="89"/>
        <v>20000</v>
      </c>
      <c r="N166" s="8">
        <f t="shared" si="90"/>
        <v>20000</v>
      </c>
      <c r="O166" s="6">
        <f t="shared" si="85"/>
        <v>13580</v>
      </c>
      <c r="P166" s="6">
        <f t="shared" si="86"/>
        <v>6420</v>
      </c>
      <c r="Q166" s="6">
        <f t="shared" si="87"/>
        <v>0</v>
      </c>
      <c r="R166" s="8"/>
      <c r="S166" s="16">
        <f t="shared" si="91"/>
        <v>20000</v>
      </c>
      <c r="T166" s="8">
        <f t="shared" si="95"/>
        <v>1630</v>
      </c>
      <c r="U166" s="6">
        <f t="shared" si="92"/>
        <v>150</v>
      </c>
      <c r="V166" s="54"/>
      <c r="W166" s="55"/>
      <c r="X166" s="6">
        <f t="shared" si="93"/>
        <v>1780</v>
      </c>
      <c r="Y166" s="16">
        <f t="shared" si="94"/>
        <v>18220</v>
      </c>
    </row>
    <row r="167" spans="1:25" ht="14.1" customHeight="1">
      <c r="A167" s="8">
        <v>161</v>
      </c>
      <c r="B167" s="22">
        <v>102312138239</v>
      </c>
      <c r="C167" s="37">
        <v>6725496239</v>
      </c>
      <c r="D167" s="37" t="s">
        <v>43</v>
      </c>
      <c r="E167" s="83" t="s">
        <v>514</v>
      </c>
      <c r="F167" s="34" t="s">
        <v>515</v>
      </c>
      <c r="G167" s="36" t="s">
        <v>516</v>
      </c>
      <c r="H167" s="4">
        <v>1695</v>
      </c>
      <c r="I167" s="12">
        <v>28</v>
      </c>
      <c r="J167" s="8">
        <v>13580</v>
      </c>
      <c r="K167" s="8">
        <v>1420</v>
      </c>
      <c r="L167" s="8">
        <v>0</v>
      </c>
      <c r="M167" s="30">
        <f t="shared" si="89"/>
        <v>15000</v>
      </c>
      <c r="N167" s="8">
        <f t="shared" si="90"/>
        <v>15000</v>
      </c>
      <c r="O167" s="6">
        <f t="shared" si="85"/>
        <v>12675</v>
      </c>
      <c r="P167" s="6">
        <f t="shared" si="86"/>
        <v>1325</v>
      </c>
      <c r="Q167" s="6">
        <f t="shared" si="87"/>
        <v>0</v>
      </c>
      <c r="R167" s="8"/>
      <c r="S167" s="16">
        <f t="shared" si="91"/>
        <v>14000</v>
      </c>
      <c r="T167" s="8">
        <f t="shared" si="95"/>
        <v>1521</v>
      </c>
      <c r="U167" s="6">
        <f t="shared" si="92"/>
        <v>105</v>
      </c>
      <c r="V167" s="54"/>
      <c r="W167" s="55"/>
      <c r="X167" s="6">
        <f t="shared" si="93"/>
        <v>1626</v>
      </c>
      <c r="Y167" s="16">
        <f t="shared" si="94"/>
        <v>12374</v>
      </c>
    </row>
    <row r="168" spans="1:25" ht="14.1" customHeight="1">
      <c r="A168" s="8">
        <v>162</v>
      </c>
      <c r="B168" s="22">
        <v>102312142413</v>
      </c>
      <c r="C168" s="37">
        <v>6725496240</v>
      </c>
      <c r="D168" s="37" t="s">
        <v>43</v>
      </c>
      <c r="E168" s="83" t="s">
        <v>517</v>
      </c>
      <c r="F168" s="34" t="s">
        <v>518</v>
      </c>
      <c r="G168" s="36" t="s">
        <v>519</v>
      </c>
      <c r="H168" s="4">
        <v>1705</v>
      </c>
      <c r="I168" s="12">
        <v>28.5</v>
      </c>
      <c r="J168" s="8">
        <v>13580</v>
      </c>
      <c r="K168" s="8">
        <v>1420</v>
      </c>
      <c r="L168" s="8">
        <v>0</v>
      </c>
      <c r="M168" s="30">
        <f t="shared" si="89"/>
        <v>15000</v>
      </c>
      <c r="N168" s="8">
        <f t="shared" si="90"/>
        <v>15000</v>
      </c>
      <c r="O168" s="6">
        <f t="shared" si="85"/>
        <v>12901</v>
      </c>
      <c r="P168" s="6">
        <f t="shared" si="86"/>
        <v>1349</v>
      </c>
      <c r="Q168" s="6">
        <f t="shared" si="87"/>
        <v>0</v>
      </c>
      <c r="R168" s="8"/>
      <c r="S168" s="16">
        <f t="shared" si="91"/>
        <v>14250</v>
      </c>
      <c r="T168" s="8">
        <f t="shared" si="95"/>
        <v>1548</v>
      </c>
      <c r="U168" s="6">
        <f t="shared" si="92"/>
        <v>107</v>
      </c>
      <c r="V168" s="54"/>
      <c r="W168" s="55"/>
      <c r="X168" s="6">
        <f t="shared" si="93"/>
        <v>1655</v>
      </c>
      <c r="Y168" s="16">
        <f t="shared" si="94"/>
        <v>12595</v>
      </c>
    </row>
    <row r="169" spans="1:25" ht="14.1" customHeight="1">
      <c r="A169" s="8">
        <v>163</v>
      </c>
      <c r="B169" s="22">
        <v>102312143910</v>
      </c>
      <c r="C169" s="37">
        <v>6725496241</v>
      </c>
      <c r="D169" s="37" t="s">
        <v>43</v>
      </c>
      <c r="E169" s="83" t="s">
        <v>520</v>
      </c>
      <c r="F169" s="34" t="s">
        <v>521</v>
      </c>
      <c r="G169" s="36" t="s">
        <v>522</v>
      </c>
      <c r="H169" s="4">
        <v>1715</v>
      </c>
      <c r="I169" s="12">
        <v>30</v>
      </c>
      <c r="J169" s="8">
        <v>13580</v>
      </c>
      <c r="K169" s="8">
        <v>1420</v>
      </c>
      <c r="L169" s="8">
        <v>0</v>
      </c>
      <c r="M169" s="30">
        <f t="shared" si="89"/>
        <v>15000</v>
      </c>
      <c r="N169" s="8">
        <f t="shared" si="90"/>
        <v>15000</v>
      </c>
      <c r="O169" s="6">
        <f t="shared" si="85"/>
        <v>13580</v>
      </c>
      <c r="P169" s="6">
        <f t="shared" si="86"/>
        <v>1420</v>
      </c>
      <c r="Q169" s="6">
        <f t="shared" si="87"/>
        <v>0</v>
      </c>
      <c r="R169" s="8"/>
      <c r="S169" s="16">
        <f t="shared" si="91"/>
        <v>15000</v>
      </c>
      <c r="T169" s="8">
        <f t="shared" si="95"/>
        <v>1630</v>
      </c>
      <c r="U169" s="6">
        <f t="shared" si="92"/>
        <v>113</v>
      </c>
      <c r="V169" s="54"/>
      <c r="W169" s="55"/>
      <c r="X169" s="6">
        <f t="shared" si="93"/>
        <v>1743</v>
      </c>
      <c r="Y169" s="16">
        <f t="shared" si="94"/>
        <v>13257</v>
      </c>
    </row>
    <row r="170" spans="1:25" ht="14.1" customHeight="1">
      <c r="A170" s="8">
        <v>164</v>
      </c>
      <c r="B170" s="22">
        <v>102312144744</v>
      </c>
      <c r="C170" s="37">
        <v>6724069922</v>
      </c>
      <c r="D170" s="37" t="s">
        <v>43</v>
      </c>
      <c r="E170" s="83" t="s">
        <v>523</v>
      </c>
      <c r="F170" s="34" t="s">
        <v>524</v>
      </c>
      <c r="G170" s="36" t="s">
        <v>525</v>
      </c>
      <c r="H170" s="4">
        <v>1706</v>
      </c>
      <c r="I170" s="12">
        <v>30</v>
      </c>
      <c r="J170" s="8">
        <v>13580</v>
      </c>
      <c r="K170" s="8">
        <v>1420</v>
      </c>
      <c r="L170" s="8">
        <v>0</v>
      </c>
      <c r="M170" s="30">
        <f t="shared" si="89"/>
        <v>15000</v>
      </c>
      <c r="N170" s="8">
        <f t="shared" si="90"/>
        <v>15000</v>
      </c>
      <c r="O170" s="6">
        <f t="shared" si="85"/>
        <v>13580</v>
      </c>
      <c r="P170" s="6">
        <f t="shared" si="86"/>
        <v>1420</v>
      </c>
      <c r="Q170" s="6">
        <f t="shared" si="87"/>
        <v>0</v>
      </c>
      <c r="R170" s="8"/>
      <c r="S170" s="16">
        <f t="shared" si="91"/>
        <v>15000</v>
      </c>
      <c r="T170" s="8">
        <f t="shared" si="95"/>
        <v>1630</v>
      </c>
      <c r="U170" s="6">
        <f t="shared" si="92"/>
        <v>113</v>
      </c>
      <c r="V170" s="54"/>
      <c r="W170" s="55"/>
      <c r="X170" s="6">
        <f t="shared" si="93"/>
        <v>1743</v>
      </c>
      <c r="Y170" s="16">
        <f t="shared" si="94"/>
        <v>13257</v>
      </c>
    </row>
    <row r="171" spans="1:25" s="80" customFormat="1" ht="14.1" customHeight="1">
      <c r="A171" s="8">
        <v>165</v>
      </c>
      <c r="B171" s="70">
        <v>102312145738</v>
      </c>
      <c r="C171" s="71">
        <v>6725496242</v>
      </c>
      <c r="D171" s="71"/>
      <c r="E171" s="85" t="s">
        <v>526</v>
      </c>
      <c r="F171" s="72" t="s">
        <v>527</v>
      </c>
      <c r="G171" s="73" t="s">
        <v>528</v>
      </c>
      <c r="H171" s="74">
        <v>1716</v>
      </c>
      <c r="I171" s="75">
        <v>0</v>
      </c>
      <c r="J171" s="44">
        <v>13580</v>
      </c>
      <c r="K171" s="44">
        <v>1420</v>
      </c>
      <c r="L171" s="44">
        <v>0</v>
      </c>
      <c r="M171" s="45">
        <f t="shared" si="89"/>
        <v>15000</v>
      </c>
      <c r="N171" s="44">
        <f t="shared" si="90"/>
        <v>15000</v>
      </c>
      <c r="O171" s="46">
        <f t="shared" si="85"/>
        <v>0</v>
      </c>
      <c r="P171" s="46">
        <f t="shared" si="86"/>
        <v>0</v>
      </c>
      <c r="Q171" s="46">
        <f t="shared" si="87"/>
        <v>0</v>
      </c>
      <c r="R171" s="44"/>
      <c r="S171" s="76">
        <f t="shared" si="91"/>
        <v>0</v>
      </c>
      <c r="T171" s="44">
        <f t="shared" si="95"/>
        <v>0</v>
      </c>
      <c r="U171" s="46">
        <f t="shared" si="92"/>
        <v>0</v>
      </c>
      <c r="V171" s="78"/>
      <c r="W171" s="79"/>
      <c r="X171" s="46">
        <f t="shared" si="93"/>
        <v>0</v>
      </c>
      <c r="Y171" s="76">
        <f t="shared" si="94"/>
        <v>0</v>
      </c>
    </row>
    <row r="172" spans="1:25" ht="14.1" customHeight="1">
      <c r="A172" s="8">
        <v>166</v>
      </c>
      <c r="B172" s="22">
        <v>102187530925</v>
      </c>
      <c r="C172" s="37">
        <v>6725504159</v>
      </c>
      <c r="D172" s="37" t="s">
        <v>43</v>
      </c>
      <c r="E172" s="83" t="s">
        <v>529</v>
      </c>
      <c r="F172" s="34" t="s">
        <v>530</v>
      </c>
      <c r="G172" s="36" t="s">
        <v>531</v>
      </c>
      <c r="H172" s="4">
        <v>1717</v>
      </c>
      <c r="I172" s="12">
        <v>30</v>
      </c>
      <c r="J172" s="8">
        <v>13580</v>
      </c>
      <c r="K172" s="8">
        <v>1420</v>
      </c>
      <c r="L172" s="8">
        <v>0</v>
      </c>
      <c r="M172" s="30">
        <f t="shared" si="89"/>
        <v>15000</v>
      </c>
      <c r="N172" s="8">
        <f t="shared" si="90"/>
        <v>15000</v>
      </c>
      <c r="O172" s="6">
        <f t="shared" si="85"/>
        <v>13580</v>
      </c>
      <c r="P172" s="6">
        <f t="shared" si="86"/>
        <v>1420</v>
      </c>
      <c r="Q172" s="6">
        <f t="shared" si="87"/>
        <v>0</v>
      </c>
      <c r="R172" s="8"/>
      <c r="S172" s="16">
        <f t="shared" si="91"/>
        <v>15000</v>
      </c>
      <c r="T172" s="8">
        <f t="shared" si="95"/>
        <v>1630</v>
      </c>
      <c r="U172" s="6">
        <f t="shared" si="92"/>
        <v>113</v>
      </c>
      <c r="V172" s="54"/>
      <c r="W172" s="55"/>
      <c r="X172" s="6">
        <f t="shared" si="93"/>
        <v>1743</v>
      </c>
      <c r="Y172" s="16">
        <f t="shared" si="94"/>
        <v>13257</v>
      </c>
    </row>
    <row r="173" spans="1:25" ht="14.1" customHeight="1">
      <c r="A173" s="8">
        <v>167</v>
      </c>
      <c r="B173" s="22">
        <v>102313357515</v>
      </c>
      <c r="C173" s="37">
        <v>6725504088</v>
      </c>
      <c r="D173" s="37" t="s">
        <v>43</v>
      </c>
      <c r="E173" s="83" t="s">
        <v>532</v>
      </c>
      <c r="F173" s="34" t="s">
        <v>533</v>
      </c>
      <c r="G173" s="36" t="s">
        <v>534</v>
      </c>
      <c r="H173" s="4">
        <v>1722</v>
      </c>
      <c r="I173" s="12">
        <v>30</v>
      </c>
      <c r="J173" s="8">
        <v>13580</v>
      </c>
      <c r="K173" s="8">
        <v>1420</v>
      </c>
      <c r="L173" s="8">
        <v>0</v>
      </c>
      <c r="M173" s="30">
        <f t="shared" si="89"/>
        <v>15000</v>
      </c>
      <c r="N173" s="8">
        <f t="shared" si="90"/>
        <v>15000</v>
      </c>
      <c r="O173" s="6">
        <f t="shared" si="85"/>
        <v>13580</v>
      </c>
      <c r="P173" s="6">
        <f t="shared" si="86"/>
        <v>1420</v>
      </c>
      <c r="Q173" s="6">
        <f t="shared" si="87"/>
        <v>0</v>
      </c>
      <c r="R173" s="8"/>
      <c r="S173" s="16">
        <f t="shared" si="91"/>
        <v>15000</v>
      </c>
      <c r="T173" s="8">
        <f t="shared" si="95"/>
        <v>1630</v>
      </c>
      <c r="U173" s="6">
        <f t="shared" si="92"/>
        <v>113</v>
      </c>
      <c r="V173" s="54"/>
      <c r="W173" s="55"/>
      <c r="X173" s="6">
        <f t="shared" si="93"/>
        <v>1743</v>
      </c>
      <c r="Y173" s="16">
        <f t="shared" si="94"/>
        <v>13257</v>
      </c>
    </row>
    <row r="174" spans="1:25" s="80" customFormat="1" ht="14.1" customHeight="1">
      <c r="A174" s="8">
        <v>168</v>
      </c>
      <c r="B174" s="70">
        <v>102313356715</v>
      </c>
      <c r="C174" s="71">
        <v>6725504115</v>
      </c>
      <c r="D174" s="71" t="s">
        <v>43</v>
      </c>
      <c r="E174" s="85" t="s">
        <v>535</v>
      </c>
      <c r="F174" s="72" t="s">
        <v>536</v>
      </c>
      <c r="G174" s="73" t="s">
        <v>537</v>
      </c>
      <c r="H174" s="74">
        <v>1720</v>
      </c>
      <c r="I174" s="75">
        <v>6</v>
      </c>
      <c r="J174" s="44">
        <v>13580</v>
      </c>
      <c r="K174" s="44">
        <v>1420</v>
      </c>
      <c r="L174" s="44">
        <v>0</v>
      </c>
      <c r="M174" s="45">
        <f t="shared" si="89"/>
        <v>15000</v>
      </c>
      <c r="N174" s="44">
        <f t="shared" si="90"/>
        <v>15000</v>
      </c>
      <c r="O174" s="46">
        <f t="shared" si="85"/>
        <v>2716</v>
      </c>
      <c r="P174" s="46">
        <f t="shared" si="86"/>
        <v>284</v>
      </c>
      <c r="Q174" s="46">
        <f t="shared" si="87"/>
        <v>0</v>
      </c>
      <c r="R174" s="44"/>
      <c r="S174" s="76">
        <f t="shared" si="91"/>
        <v>3000</v>
      </c>
      <c r="T174" s="44">
        <f t="shared" si="95"/>
        <v>326</v>
      </c>
      <c r="U174" s="46">
        <f t="shared" si="92"/>
        <v>23</v>
      </c>
      <c r="V174" s="78"/>
      <c r="W174" s="79"/>
      <c r="X174" s="46">
        <f t="shared" si="93"/>
        <v>349</v>
      </c>
      <c r="Y174" s="76">
        <f t="shared" si="94"/>
        <v>2651</v>
      </c>
    </row>
    <row r="175" spans="1:25" ht="14.1" customHeight="1">
      <c r="A175" s="8">
        <v>169</v>
      </c>
      <c r="B175" s="22">
        <v>102307243133</v>
      </c>
      <c r="C175" s="37">
        <v>6725501390</v>
      </c>
      <c r="D175" s="37" t="s">
        <v>43</v>
      </c>
      <c r="E175" s="83" t="s">
        <v>538</v>
      </c>
      <c r="F175" s="34" t="s">
        <v>539</v>
      </c>
      <c r="G175" s="36" t="s">
        <v>540</v>
      </c>
      <c r="H175" s="4">
        <v>1718</v>
      </c>
      <c r="I175" s="12">
        <v>30</v>
      </c>
      <c r="J175" s="8">
        <v>13580</v>
      </c>
      <c r="K175" s="8">
        <v>1420</v>
      </c>
      <c r="L175" s="8">
        <v>0</v>
      </c>
      <c r="M175" s="30">
        <f t="shared" si="89"/>
        <v>15000</v>
      </c>
      <c r="N175" s="8">
        <f t="shared" si="90"/>
        <v>15000</v>
      </c>
      <c r="O175" s="6">
        <f t="shared" si="85"/>
        <v>13580</v>
      </c>
      <c r="P175" s="6">
        <f t="shared" si="86"/>
        <v>1420</v>
      </c>
      <c r="Q175" s="6">
        <f t="shared" si="87"/>
        <v>0</v>
      </c>
      <c r="R175" s="8"/>
      <c r="S175" s="16">
        <f t="shared" si="91"/>
        <v>15000</v>
      </c>
      <c r="T175" s="8">
        <f t="shared" si="95"/>
        <v>1630</v>
      </c>
      <c r="U175" s="6">
        <f t="shared" si="92"/>
        <v>113</v>
      </c>
      <c r="V175" s="54"/>
      <c r="W175" s="55"/>
      <c r="X175" s="6">
        <f t="shared" si="93"/>
        <v>1743</v>
      </c>
      <c r="Y175" s="16">
        <f t="shared" si="94"/>
        <v>13257</v>
      </c>
    </row>
    <row r="176" spans="1:25" ht="14.1" customHeight="1">
      <c r="A176" s="8">
        <v>170</v>
      </c>
      <c r="B176" s="22">
        <v>101875248571</v>
      </c>
      <c r="C176" s="37">
        <v>6725522501</v>
      </c>
      <c r="D176" s="37" t="s">
        <v>43</v>
      </c>
      <c r="E176" s="83" t="s">
        <v>541</v>
      </c>
      <c r="F176" s="34" t="s">
        <v>542</v>
      </c>
      <c r="G176" s="36" t="s">
        <v>543</v>
      </c>
      <c r="H176" s="4">
        <v>1746</v>
      </c>
      <c r="I176" s="12">
        <v>30</v>
      </c>
      <c r="J176" s="8">
        <v>13580</v>
      </c>
      <c r="K176" s="8">
        <v>1420</v>
      </c>
      <c r="L176" s="8">
        <v>0</v>
      </c>
      <c r="M176" s="30">
        <f t="shared" si="89"/>
        <v>15000</v>
      </c>
      <c r="N176" s="8">
        <f t="shared" si="90"/>
        <v>15000</v>
      </c>
      <c r="O176" s="6">
        <f t="shared" si="85"/>
        <v>13580</v>
      </c>
      <c r="P176" s="6">
        <f t="shared" si="86"/>
        <v>1420</v>
      </c>
      <c r="Q176" s="6">
        <f t="shared" si="87"/>
        <v>0</v>
      </c>
      <c r="R176" s="8"/>
      <c r="S176" s="16">
        <f t="shared" si="91"/>
        <v>15000</v>
      </c>
      <c r="T176" s="8">
        <f t="shared" si="95"/>
        <v>1630</v>
      </c>
      <c r="U176" s="6">
        <f t="shared" si="92"/>
        <v>113</v>
      </c>
      <c r="V176" s="54"/>
      <c r="W176" s="55"/>
      <c r="X176" s="6">
        <f t="shared" si="93"/>
        <v>1743</v>
      </c>
      <c r="Y176" s="16">
        <f t="shared" si="94"/>
        <v>13257</v>
      </c>
    </row>
    <row r="177" spans="1:25" ht="14.1" customHeight="1">
      <c r="A177" s="8">
        <v>171</v>
      </c>
      <c r="B177" s="22">
        <v>101811536816</v>
      </c>
      <c r="C177" s="37" t="s">
        <v>30</v>
      </c>
      <c r="D177" s="37" t="s">
        <v>43</v>
      </c>
      <c r="E177" s="83" t="s">
        <v>544</v>
      </c>
      <c r="F177" s="34" t="s">
        <v>545</v>
      </c>
      <c r="G177" s="36" t="s">
        <v>546</v>
      </c>
      <c r="H177" s="4">
        <v>1745</v>
      </c>
      <c r="I177" s="12">
        <v>30</v>
      </c>
      <c r="J177" s="8">
        <v>13580</v>
      </c>
      <c r="K177" s="8">
        <v>10000</v>
      </c>
      <c r="L177" s="8">
        <v>1420</v>
      </c>
      <c r="M177" s="30">
        <f t="shared" si="89"/>
        <v>25000</v>
      </c>
      <c r="N177" s="8">
        <f t="shared" si="90"/>
        <v>25000</v>
      </c>
      <c r="O177" s="6">
        <f t="shared" si="85"/>
        <v>13580</v>
      </c>
      <c r="P177" s="6">
        <f t="shared" si="86"/>
        <v>10000</v>
      </c>
      <c r="Q177" s="6">
        <f t="shared" si="87"/>
        <v>1420</v>
      </c>
      <c r="R177" s="8"/>
      <c r="S177" s="16">
        <f t="shared" si="91"/>
        <v>25000</v>
      </c>
      <c r="T177" s="8">
        <f t="shared" si="95"/>
        <v>1630</v>
      </c>
      <c r="U177" s="53">
        <v>0</v>
      </c>
      <c r="V177" s="54"/>
      <c r="W177" s="55"/>
      <c r="X177" s="6">
        <f t="shared" si="93"/>
        <v>1630</v>
      </c>
      <c r="Y177" s="16">
        <f t="shared" si="94"/>
        <v>23370</v>
      </c>
    </row>
    <row r="178" spans="1:25" s="80" customFormat="1" ht="14.1" customHeight="1">
      <c r="A178" s="8">
        <v>172</v>
      </c>
      <c r="B178" s="71" t="s">
        <v>30</v>
      </c>
      <c r="C178" s="71" t="s">
        <v>30</v>
      </c>
      <c r="D178" s="71"/>
      <c r="E178" s="85" t="s">
        <v>547</v>
      </c>
      <c r="F178" s="72" t="s">
        <v>548</v>
      </c>
      <c r="G178" s="73" t="s">
        <v>549</v>
      </c>
      <c r="H178" s="74">
        <v>1747</v>
      </c>
      <c r="I178" s="75">
        <v>12</v>
      </c>
      <c r="J178" s="44">
        <v>25000</v>
      </c>
      <c r="K178" s="44">
        <v>20000</v>
      </c>
      <c r="L178" s="44">
        <v>5000</v>
      </c>
      <c r="M178" s="45">
        <f t="shared" ref="M178:M181" si="96">J178+K178+L178</f>
        <v>50000</v>
      </c>
      <c r="N178" s="44">
        <f t="shared" ref="N178:N181" si="97">M178</f>
        <v>50000</v>
      </c>
      <c r="O178" s="46">
        <f t="shared" ref="O178:O181" si="98">ROUND(J178/$AA$3*I178,0)</f>
        <v>10000</v>
      </c>
      <c r="P178" s="46">
        <f t="shared" ref="P178:P181" si="99">ROUND(K178/$AA$3*I178,0)</f>
        <v>8000</v>
      </c>
      <c r="Q178" s="46">
        <f t="shared" ref="Q178:Q181" si="100">ROUND(L178/$AA$3*I178,0)</f>
        <v>2000</v>
      </c>
      <c r="R178" s="44"/>
      <c r="S178" s="76">
        <f t="shared" ref="S178:S181" si="101">O178+P178+Q178</f>
        <v>20000</v>
      </c>
      <c r="T178" s="77">
        <v>0</v>
      </c>
      <c r="U178" s="77">
        <v>0</v>
      </c>
      <c r="V178" s="78"/>
      <c r="W178" s="79"/>
      <c r="X178" s="46">
        <f t="shared" ref="X178:X181" si="102">T178+U178+V178+W178</f>
        <v>0</v>
      </c>
      <c r="Y178" s="76">
        <f t="shared" ref="Y178:Y181" si="103">S178-X178</f>
        <v>20000</v>
      </c>
    </row>
    <row r="179" spans="1:25" ht="14.1" customHeight="1">
      <c r="A179" s="8">
        <v>173</v>
      </c>
      <c r="B179" s="22">
        <v>100737508864</v>
      </c>
      <c r="C179" s="37" t="s">
        <v>30</v>
      </c>
      <c r="D179" s="37"/>
      <c r="E179" s="83" t="s">
        <v>550</v>
      </c>
      <c r="F179" s="34" t="s">
        <v>551</v>
      </c>
      <c r="G179" s="36" t="s">
        <v>552</v>
      </c>
      <c r="H179" s="4"/>
      <c r="I179" s="12">
        <v>30</v>
      </c>
      <c r="J179" s="8">
        <v>35000</v>
      </c>
      <c r="K179" s="8">
        <v>28000</v>
      </c>
      <c r="L179" s="8">
        <v>7000</v>
      </c>
      <c r="M179" s="30">
        <f t="shared" si="96"/>
        <v>70000</v>
      </c>
      <c r="N179" s="8">
        <f t="shared" si="97"/>
        <v>70000</v>
      </c>
      <c r="O179" s="6">
        <f t="shared" si="98"/>
        <v>35000</v>
      </c>
      <c r="P179" s="6">
        <f t="shared" si="99"/>
        <v>28000</v>
      </c>
      <c r="Q179" s="6">
        <f t="shared" si="100"/>
        <v>7000</v>
      </c>
      <c r="R179" s="8"/>
      <c r="S179" s="16">
        <f t="shared" si="101"/>
        <v>70000</v>
      </c>
      <c r="T179" s="8">
        <f t="shared" ref="T179:T181" si="104">ROUND(IF(J179&gt;15000,(15000/$AA$3*I179)*12%,O179*12%)*1,0)</f>
        <v>1800</v>
      </c>
      <c r="U179" s="53">
        <v>0</v>
      </c>
      <c r="V179" s="54"/>
      <c r="W179" s="55"/>
      <c r="X179" s="6">
        <f t="shared" si="102"/>
        <v>1800</v>
      </c>
      <c r="Y179" s="16">
        <f t="shared" si="103"/>
        <v>68200</v>
      </c>
    </row>
    <row r="180" spans="1:25" ht="14.1" customHeight="1">
      <c r="A180" s="8">
        <v>174</v>
      </c>
      <c r="B180" s="22">
        <v>102046737379</v>
      </c>
      <c r="C180" s="37">
        <v>4406745508</v>
      </c>
      <c r="D180" s="37"/>
      <c r="E180" s="83" t="s">
        <v>553</v>
      </c>
      <c r="F180" s="34" t="s">
        <v>554</v>
      </c>
      <c r="G180" s="36" t="s">
        <v>555</v>
      </c>
      <c r="H180" s="4"/>
      <c r="I180" s="12">
        <v>18</v>
      </c>
      <c r="J180" s="8">
        <v>13580</v>
      </c>
      <c r="K180" s="8">
        <v>1420</v>
      </c>
      <c r="L180" s="8">
        <v>0</v>
      </c>
      <c r="M180" s="30">
        <f t="shared" si="96"/>
        <v>15000</v>
      </c>
      <c r="N180" s="8">
        <f t="shared" si="97"/>
        <v>15000</v>
      </c>
      <c r="O180" s="6">
        <f t="shared" si="98"/>
        <v>8148</v>
      </c>
      <c r="P180" s="6">
        <f t="shared" si="99"/>
        <v>852</v>
      </c>
      <c r="Q180" s="6">
        <f t="shared" si="100"/>
        <v>0</v>
      </c>
      <c r="R180" s="8"/>
      <c r="S180" s="16">
        <f t="shared" si="101"/>
        <v>9000</v>
      </c>
      <c r="T180" s="8">
        <f t="shared" si="104"/>
        <v>978</v>
      </c>
      <c r="U180" s="6">
        <f t="shared" ref="U180" si="105">ROUNDUP(S180*0.75/100,0)</f>
        <v>68</v>
      </c>
      <c r="V180" s="54"/>
      <c r="W180" s="55"/>
      <c r="X180" s="6">
        <f t="shared" si="102"/>
        <v>1046</v>
      </c>
      <c r="Y180" s="16">
        <f t="shared" si="103"/>
        <v>7954</v>
      </c>
    </row>
    <row r="181" spans="1:25" ht="14.1" customHeight="1">
      <c r="A181" s="8">
        <v>175</v>
      </c>
      <c r="B181" s="22">
        <v>102330106224</v>
      </c>
      <c r="C181" s="37" t="s">
        <v>30</v>
      </c>
      <c r="D181" s="37"/>
      <c r="E181" s="83" t="s">
        <v>556</v>
      </c>
      <c r="F181" s="34" t="s">
        <v>557</v>
      </c>
      <c r="G181" s="36" t="s">
        <v>558</v>
      </c>
      <c r="H181" s="4"/>
      <c r="I181" s="12">
        <v>10</v>
      </c>
      <c r="J181" s="8">
        <v>15000</v>
      </c>
      <c r="K181" s="8">
        <v>12000</v>
      </c>
      <c r="L181" s="8">
        <v>3000</v>
      </c>
      <c r="M181" s="30">
        <f t="shared" si="96"/>
        <v>30000</v>
      </c>
      <c r="N181" s="8">
        <f t="shared" si="97"/>
        <v>30000</v>
      </c>
      <c r="O181" s="6">
        <f t="shared" si="98"/>
        <v>5000</v>
      </c>
      <c r="P181" s="6">
        <f t="shared" si="99"/>
        <v>4000</v>
      </c>
      <c r="Q181" s="6">
        <f t="shared" si="100"/>
        <v>1000</v>
      </c>
      <c r="R181" s="8"/>
      <c r="S181" s="16">
        <f t="shared" si="101"/>
        <v>10000</v>
      </c>
      <c r="T181" s="8">
        <f t="shared" si="104"/>
        <v>600</v>
      </c>
      <c r="U181" s="53">
        <v>0</v>
      </c>
      <c r="V181" s="54"/>
      <c r="W181" s="55"/>
      <c r="X181" s="6">
        <f t="shared" si="102"/>
        <v>600</v>
      </c>
      <c r="Y181" s="16">
        <f t="shared" si="103"/>
        <v>9400</v>
      </c>
    </row>
    <row r="182" spans="1:25" ht="14.1" customHeight="1">
      <c r="A182" s="8">
        <v>176</v>
      </c>
      <c r="B182" s="22">
        <v>102105607076</v>
      </c>
      <c r="C182" s="37" t="s">
        <v>30</v>
      </c>
      <c r="D182" s="37" t="s">
        <v>43</v>
      </c>
      <c r="E182" s="83" t="s">
        <v>559</v>
      </c>
      <c r="F182" s="34" t="s">
        <v>560</v>
      </c>
      <c r="G182" s="36" t="s">
        <v>561</v>
      </c>
      <c r="H182" s="4">
        <v>1762</v>
      </c>
      <c r="I182" s="12">
        <v>25</v>
      </c>
      <c r="J182" s="8">
        <v>13580</v>
      </c>
      <c r="K182" s="8">
        <v>10000</v>
      </c>
      <c r="L182" s="8">
        <v>1420</v>
      </c>
      <c r="M182" s="30">
        <f t="shared" ref="M182:M186" si="106">J182+K182+L182</f>
        <v>25000</v>
      </c>
      <c r="N182" s="8">
        <f t="shared" ref="N182:N186" si="107">M182</f>
        <v>25000</v>
      </c>
      <c r="O182" s="6">
        <f t="shared" ref="O182:O186" si="108">ROUND(J182/$AA$3*I182,0)</f>
        <v>11317</v>
      </c>
      <c r="P182" s="6">
        <f t="shared" ref="P182:P186" si="109">ROUND(K182/$AA$3*I182,0)</f>
        <v>8333</v>
      </c>
      <c r="Q182" s="6">
        <f t="shared" ref="Q182:Q186" si="110">ROUND(L182/$AA$3*I182,0)</f>
        <v>1183</v>
      </c>
      <c r="R182" s="8"/>
      <c r="S182" s="16">
        <f t="shared" ref="S182:S186" si="111">O182+P182+Q182</f>
        <v>20833</v>
      </c>
      <c r="T182" s="8">
        <f t="shared" ref="T182:T186" si="112">ROUND(IF(J182&gt;15000,(15000/$AA$3*I182)*12%,O182*12%)*1,0)</f>
        <v>1358</v>
      </c>
      <c r="U182" s="53">
        <v>0</v>
      </c>
      <c r="V182" s="54"/>
      <c r="W182" s="55"/>
      <c r="X182" s="6">
        <f t="shared" ref="X182:X186" si="113">T182+U182+V182+W182</f>
        <v>1358</v>
      </c>
      <c r="Y182" s="16">
        <f t="shared" ref="Y182:Y186" si="114">S182-X182</f>
        <v>19475</v>
      </c>
    </row>
    <row r="183" spans="1:25" ht="14.1" customHeight="1">
      <c r="A183" s="8">
        <v>177</v>
      </c>
      <c r="B183" s="22">
        <v>102327755326</v>
      </c>
      <c r="C183" s="37">
        <v>6725600782</v>
      </c>
      <c r="D183" s="37" t="s">
        <v>43</v>
      </c>
      <c r="E183" s="83" t="s">
        <v>562</v>
      </c>
      <c r="F183" s="34" t="s">
        <v>563</v>
      </c>
      <c r="G183" s="36" t="s">
        <v>564</v>
      </c>
      <c r="H183" s="4">
        <v>1911</v>
      </c>
      <c r="I183" s="12">
        <v>11</v>
      </c>
      <c r="J183" s="8">
        <v>13580</v>
      </c>
      <c r="K183" s="8">
        <v>1420</v>
      </c>
      <c r="L183" s="8">
        <v>0</v>
      </c>
      <c r="M183" s="30">
        <f t="shared" si="106"/>
        <v>15000</v>
      </c>
      <c r="N183" s="8">
        <f t="shared" si="107"/>
        <v>15000</v>
      </c>
      <c r="O183" s="6">
        <f t="shared" si="108"/>
        <v>4979</v>
      </c>
      <c r="P183" s="6">
        <f t="shared" si="109"/>
        <v>521</v>
      </c>
      <c r="Q183" s="6">
        <f t="shared" si="110"/>
        <v>0</v>
      </c>
      <c r="R183" s="8"/>
      <c r="S183" s="16">
        <f t="shared" si="111"/>
        <v>5500</v>
      </c>
      <c r="T183" s="8">
        <f t="shared" si="112"/>
        <v>597</v>
      </c>
      <c r="U183" s="6">
        <f t="shared" ref="U183:U186" si="115">ROUNDUP(S183*0.75/100,0)</f>
        <v>42</v>
      </c>
      <c r="V183" s="54"/>
      <c r="W183" s="55"/>
      <c r="X183" s="6">
        <f t="shared" si="113"/>
        <v>639</v>
      </c>
      <c r="Y183" s="16">
        <f t="shared" si="114"/>
        <v>4861</v>
      </c>
    </row>
    <row r="184" spans="1:25" ht="14.1" customHeight="1">
      <c r="A184" s="8">
        <v>178</v>
      </c>
      <c r="B184" s="22">
        <v>102327754961</v>
      </c>
      <c r="C184" s="37">
        <v>6725600792</v>
      </c>
      <c r="D184" s="37" t="s">
        <v>43</v>
      </c>
      <c r="E184" s="83" t="s">
        <v>565</v>
      </c>
      <c r="F184" s="34" t="s">
        <v>566</v>
      </c>
      <c r="G184" s="36" t="s">
        <v>567</v>
      </c>
      <c r="H184" s="4">
        <v>1908</v>
      </c>
      <c r="I184" s="12">
        <v>11</v>
      </c>
      <c r="J184" s="8">
        <v>13580</v>
      </c>
      <c r="K184" s="8">
        <v>1420</v>
      </c>
      <c r="L184" s="8">
        <v>0</v>
      </c>
      <c r="M184" s="30">
        <f t="shared" si="106"/>
        <v>15000</v>
      </c>
      <c r="N184" s="8">
        <f t="shared" si="107"/>
        <v>15000</v>
      </c>
      <c r="O184" s="6">
        <f t="shared" si="108"/>
        <v>4979</v>
      </c>
      <c r="P184" s="6">
        <f t="shared" si="109"/>
        <v>521</v>
      </c>
      <c r="Q184" s="6">
        <f t="shared" si="110"/>
        <v>0</v>
      </c>
      <c r="R184" s="8"/>
      <c r="S184" s="16">
        <f t="shared" si="111"/>
        <v>5500</v>
      </c>
      <c r="T184" s="8">
        <f t="shared" si="112"/>
        <v>597</v>
      </c>
      <c r="U184" s="6">
        <f t="shared" si="115"/>
        <v>42</v>
      </c>
      <c r="V184" s="54"/>
      <c r="W184" s="55"/>
      <c r="X184" s="6">
        <f t="shared" si="113"/>
        <v>639</v>
      </c>
      <c r="Y184" s="16">
        <f t="shared" si="114"/>
        <v>4861</v>
      </c>
    </row>
    <row r="185" spans="1:25" ht="14.1" customHeight="1">
      <c r="A185" s="8">
        <v>179</v>
      </c>
      <c r="B185" s="22">
        <v>102327755286</v>
      </c>
      <c r="C185" s="37">
        <v>6725600807</v>
      </c>
      <c r="D185" s="37" t="s">
        <v>43</v>
      </c>
      <c r="E185" s="83" t="s">
        <v>568</v>
      </c>
      <c r="F185" s="34" t="s">
        <v>569</v>
      </c>
      <c r="G185" s="36" t="s">
        <v>570</v>
      </c>
      <c r="H185" s="4">
        <v>1909</v>
      </c>
      <c r="I185" s="12">
        <v>11</v>
      </c>
      <c r="J185" s="8">
        <v>13580</v>
      </c>
      <c r="K185" s="8">
        <v>1420</v>
      </c>
      <c r="L185" s="8">
        <v>0</v>
      </c>
      <c r="M185" s="30">
        <f t="shared" si="106"/>
        <v>15000</v>
      </c>
      <c r="N185" s="8">
        <f t="shared" si="107"/>
        <v>15000</v>
      </c>
      <c r="O185" s="6">
        <f t="shared" si="108"/>
        <v>4979</v>
      </c>
      <c r="P185" s="6">
        <f t="shared" si="109"/>
        <v>521</v>
      </c>
      <c r="Q185" s="6">
        <f t="shared" si="110"/>
        <v>0</v>
      </c>
      <c r="R185" s="8"/>
      <c r="S185" s="16">
        <f t="shared" si="111"/>
        <v>5500</v>
      </c>
      <c r="T185" s="8">
        <f t="shared" si="112"/>
        <v>597</v>
      </c>
      <c r="U185" s="6">
        <f t="shared" si="115"/>
        <v>42</v>
      </c>
      <c r="V185" s="54"/>
      <c r="W185" s="55"/>
      <c r="X185" s="6">
        <f t="shared" si="113"/>
        <v>639</v>
      </c>
      <c r="Y185" s="16">
        <f t="shared" si="114"/>
        <v>4861</v>
      </c>
    </row>
    <row r="186" spans="1:25" ht="14.1" customHeight="1">
      <c r="A186" s="8">
        <v>180</v>
      </c>
      <c r="B186" s="22">
        <v>102101707480</v>
      </c>
      <c r="C186" s="37">
        <v>6936117908</v>
      </c>
      <c r="D186" s="37" t="s">
        <v>43</v>
      </c>
      <c r="E186" s="83" t="s">
        <v>571</v>
      </c>
      <c r="F186" s="34" t="s">
        <v>572</v>
      </c>
      <c r="G186" s="36" t="s">
        <v>573</v>
      </c>
      <c r="H186" s="4">
        <v>1910</v>
      </c>
      <c r="I186" s="12">
        <v>10</v>
      </c>
      <c r="J186" s="8">
        <v>13580</v>
      </c>
      <c r="K186" s="8">
        <v>1420</v>
      </c>
      <c r="L186" s="8">
        <v>0</v>
      </c>
      <c r="M186" s="30">
        <f t="shared" si="106"/>
        <v>15000</v>
      </c>
      <c r="N186" s="8">
        <f t="shared" si="107"/>
        <v>15000</v>
      </c>
      <c r="O186" s="6">
        <f t="shared" si="108"/>
        <v>4527</v>
      </c>
      <c r="P186" s="6">
        <f t="shared" si="109"/>
        <v>473</v>
      </c>
      <c r="Q186" s="6">
        <f t="shared" si="110"/>
        <v>0</v>
      </c>
      <c r="R186" s="8"/>
      <c r="S186" s="16">
        <f t="shared" si="111"/>
        <v>5000</v>
      </c>
      <c r="T186" s="8">
        <f t="shared" si="112"/>
        <v>543</v>
      </c>
      <c r="U186" s="6">
        <f t="shared" si="115"/>
        <v>38</v>
      </c>
      <c r="V186" s="54"/>
      <c r="W186" s="55"/>
      <c r="X186" s="6">
        <f t="shared" si="113"/>
        <v>581</v>
      </c>
      <c r="Y186" s="16">
        <f t="shared" si="114"/>
        <v>4419</v>
      </c>
    </row>
    <row r="187" spans="1:25" ht="14.1" customHeight="1" thickBot="1">
      <c r="A187" s="8"/>
      <c r="B187" s="22"/>
      <c r="C187" s="37"/>
      <c r="D187" s="37"/>
      <c r="E187" s="33"/>
      <c r="F187" s="34"/>
      <c r="G187" s="36"/>
      <c r="H187" s="4"/>
      <c r="I187" s="12"/>
      <c r="J187" s="8"/>
      <c r="K187" s="8"/>
      <c r="L187" s="8"/>
      <c r="M187" s="30"/>
      <c r="N187" s="8"/>
      <c r="O187" s="6"/>
      <c r="P187" s="6"/>
      <c r="Q187" s="6"/>
      <c r="R187" s="8"/>
      <c r="S187" s="16"/>
      <c r="T187" s="8"/>
      <c r="U187" s="6"/>
      <c r="V187" s="54"/>
      <c r="W187" s="55"/>
      <c r="X187" s="6"/>
      <c r="Y187" s="16"/>
    </row>
    <row r="188" spans="1:25" ht="15.75" thickBot="1">
      <c r="A188" s="15"/>
      <c r="B188" s="28"/>
      <c r="C188" s="28"/>
      <c r="D188" s="28"/>
      <c r="E188" s="20"/>
      <c r="F188" s="15"/>
      <c r="G188" s="15"/>
      <c r="H188" s="47"/>
      <c r="I188" s="60"/>
      <c r="J188" s="52"/>
      <c r="K188" s="52"/>
      <c r="L188" s="52"/>
      <c r="M188" s="41"/>
      <c r="N188" s="56">
        <f t="shared" ref="N188:Y188" si="116">SUM(N7:N187)</f>
        <v>5765598</v>
      </c>
      <c r="O188" s="56">
        <f t="shared" si="116"/>
        <v>3068436</v>
      </c>
      <c r="P188" s="56">
        <f t="shared" si="116"/>
        <v>1920405</v>
      </c>
      <c r="Q188" s="56">
        <f t="shared" si="116"/>
        <v>389325</v>
      </c>
      <c r="R188" s="56">
        <f t="shared" si="116"/>
        <v>0</v>
      </c>
      <c r="S188" s="56">
        <f t="shared" si="116"/>
        <v>5378166</v>
      </c>
      <c r="T188" s="56">
        <f t="shared" si="116"/>
        <v>264638</v>
      </c>
      <c r="U188" s="56">
        <f t="shared" si="116"/>
        <v>9666</v>
      </c>
      <c r="V188" s="56">
        <f t="shared" si="116"/>
        <v>12000</v>
      </c>
      <c r="W188" s="56">
        <f t="shared" si="116"/>
        <v>65000</v>
      </c>
      <c r="X188" s="56">
        <f t="shared" si="116"/>
        <v>351304</v>
      </c>
      <c r="Y188" s="56">
        <f t="shared" si="116"/>
        <v>5026862</v>
      </c>
    </row>
    <row r="191" spans="1:25">
      <c r="Y191" s="57"/>
    </row>
  </sheetData>
  <mergeCells count="8">
    <mergeCell ref="T5:W5"/>
    <mergeCell ref="B5:B6"/>
    <mergeCell ref="C5:C6"/>
    <mergeCell ref="A4:Y4"/>
    <mergeCell ref="A1:Y2"/>
    <mergeCell ref="A3:Y3"/>
    <mergeCell ref="E5:E6"/>
    <mergeCell ref="R5:R6"/>
  </mergeCells>
  <phoneticPr fontId="11" type="noConversion"/>
  <printOptions gridLines="1"/>
  <pageMargins left="0.15748031496062992" right="0.15748031496062992" top="0.31496062992125984" bottom="0.23622047244094491" header="0.19685039370078741" footer="0.15748031496062992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5"/>
  <sheetViews>
    <sheetView topLeftCell="A171" workbookViewId="0">
      <selection activeCell="Y7" sqref="Y7:Y190"/>
    </sheetView>
  </sheetViews>
  <sheetFormatPr defaultColWidth="7.7109375" defaultRowHeight="18" customHeight="1"/>
  <cols>
    <col min="1" max="1" width="7.7109375" style="97"/>
    <col min="2" max="4" width="7.7109375" style="194"/>
    <col min="5" max="5" width="13.5703125" style="195" customWidth="1"/>
    <col min="6" max="7" width="7.7109375" style="97"/>
    <col min="8" max="8" width="7.7109375" style="196"/>
    <col min="9" max="9" width="7.7109375" style="197"/>
    <col min="10" max="25" width="7.7109375" style="198"/>
    <col min="26" max="16384" width="7.7109375" style="97"/>
  </cols>
  <sheetData>
    <row r="1" spans="1:27" ht="18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</row>
    <row r="2" spans="1:27" ht="18" customHeigh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</row>
    <row r="3" spans="1:27" ht="18" customHeight="1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98" t="s">
        <v>2</v>
      </c>
      <c r="AA3" s="98">
        <v>30</v>
      </c>
    </row>
    <row r="4" spans="1:27" ht="18" customHeight="1">
      <c r="A4" s="220" t="s">
        <v>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2"/>
    </row>
    <row r="5" spans="1:27" ht="18" customHeight="1">
      <c r="A5" s="99" t="s">
        <v>4</v>
      </c>
      <c r="B5" s="223" t="s">
        <v>5</v>
      </c>
      <c r="C5" s="223" t="s">
        <v>6</v>
      </c>
      <c r="D5" s="202"/>
      <c r="E5" s="225" t="s">
        <v>7</v>
      </c>
      <c r="F5" s="99" t="s">
        <v>8</v>
      </c>
      <c r="G5" s="99" t="s">
        <v>9</v>
      </c>
      <c r="H5" s="99" t="s">
        <v>10</v>
      </c>
      <c r="I5" s="100" t="s">
        <v>11</v>
      </c>
      <c r="J5" s="101" t="s">
        <v>12</v>
      </c>
      <c r="K5" s="101" t="s">
        <v>13</v>
      </c>
      <c r="L5" s="102" t="s">
        <v>14</v>
      </c>
      <c r="M5" s="102"/>
      <c r="N5" s="101" t="s">
        <v>11</v>
      </c>
      <c r="O5" s="101" t="s">
        <v>12</v>
      </c>
      <c r="P5" s="101" t="s">
        <v>13</v>
      </c>
      <c r="Q5" s="102" t="s">
        <v>14</v>
      </c>
      <c r="R5" s="227" t="s">
        <v>15</v>
      </c>
      <c r="S5" s="101" t="s">
        <v>11</v>
      </c>
      <c r="T5" s="220" t="s">
        <v>16</v>
      </c>
      <c r="U5" s="221"/>
      <c r="V5" s="221"/>
      <c r="W5" s="222"/>
      <c r="X5" s="101" t="s">
        <v>17</v>
      </c>
      <c r="Y5" s="101" t="s">
        <v>18</v>
      </c>
    </row>
    <row r="6" spans="1:27" ht="18" customHeight="1">
      <c r="A6" s="99" t="s">
        <v>19</v>
      </c>
      <c r="B6" s="224"/>
      <c r="C6" s="224"/>
      <c r="D6" s="203"/>
      <c r="E6" s="226"/>
      <c r="F6" s="99"/>
      <c r="G6" s="99"/>
      <c r="H6" s="99" t="s">
        <v>20</v>
      </c>
      <c r="I6" s="100" t="s">
        <v>21</v>
      </c>
      <c r="J6" s="101" t="s">
        <v>22</v>
      </c>
      <c r="K6" s="101" t="s">
        <v>23</v>
      </c>
      <c r="L6" s="101" t="s">
        <v>23</v>
      </c>
      <c r="M6" s="101"/>
      <c r="N6" s="101" t="s">
        <v>23</v>
      </c>
      <c r="O6" s="101" t="s">
        <v>22</v>
      </c>
      <c r="P6" s="101" t="s">
        <v>23</v>
      </c>
      <c r="Q6" s="101" t="s">
        <v>23</v>
      </c>
      <c r="R6" s="228"/>
      <c r="S6" s="101" t="s">
        <v>23</v>
      </c>
      <c r="T6" s="101" t="s">
        <v>24</v>
      </c>
      <c r="U6" s="101" t="s">
        <v>25</v>
      </c>
      <c r="V6" s="101" t="s">
        <v>26</v>
      </c>
      <c r="W6" s="101" t="s">
        <v>27</v>
      </c>
      <c r="X6" s="101" t="s">
        <v>28</v>
      </c>
      <c r="Y6" s="101" t="s">
        <v>29</v>
      </c>
    </row>
    <row r="7" spans="1:27" ht="18" customHeight="1">
      <c r="A7" s="103" t="e">
        <f>#REF!+1</f>
        <v>#REF!</v>
      </c>
      <c r="B7" s="104" t="s">
        <v>30</v>
      </c>
      <c r="C7" s="105" t="s">
        <v>30</v>
      </c>
      <c r="D7" s="105"/>
      <c r="E7" s="106" t="s">
        <v>39</v>
      </c>
      <c r="F7" s="107" t="s">
        <v>40</v>
      </c>
      <c r="G7" s="108" t="s">
        <v>41</v>
      </c>
      <c r="H7" s="109" t="s">
        <v>42</v>
      </c>
      <c r="I7" s="110">
        <v>30</v>
      </c>
      <c r="J7" s="103">
        <v>150000</v>
      </c>
      <c r="K7" s="103">
        <v>120000</v>
      </c>
      <c r="L7" s="103">
        <v>30000</v>
      </c>
      <c r="M7" s="111">
        <f t="shared" ref="M7:M69" si="0">J7+K7+L7</f>
        <v>300000</v>
      </c>
      <c r="N7" s="103">
        <f t="shared" ref="N7:N68" si="1">M7</f>
        <v>300000</v>
      </c>
      <c r="O7" s="104">
        <f t="shared" ref="O7:O68" si="2">ROUND(J7/$AA$3*I7,0)</f>
        <v>150000</v>
      </c>
      <c r="P7" s="104">
        <f t="shared" ref="P7:P68" si="3">ROUND(K7/$AA$3*I7,0)</f>
        <v>120000</v>
      </c>
      <c r="Q7" s="104">
        <f t="shared" ref="Q7:Q68" si="4">ROUND(L7/$AA$3*I7,0)</f>
        <v>30000</v>
      </c>
      <c r="R7" s="103"/>
      <c r="S7" s="112">
        <f t="shared" ref="S7:S68" si="5">O7+P7+Q7</f>
        <v>300000</v>
      </c>
      <c r="T7" s="113">
        <v>0</v>
      </c>
      <c r="U7" s="113">
        <v>0</v>
      </c>
      <c r="V7" s="116"/>
      <c r="W7" s="111">
        <v>55000</v>
      </c>
      <c r="X7" s="104">
        <f t="shared" ref="X7:X68" si="6">T7+U7+V7+W7</f>
        <v>55000</v>
      </c>
      <c r="Y7" s="112">
        <f t="shared" ref="Y7:Y68" si="7">S7-X7</f>
        <v>245000</v>
      </c>
      <c r="AA7" s="115"/>
    </row>
    <row r="8" spans="1:27" ht="18" customHeight="1">
      <c r="A8" s="103" t="e">
        <f t="shared" ref="A8:A70" si="8">A7+1</f>
        <v>#REF!</v>
      </c>
      <c r="B8" s="104" t="s">
        <v>30</v>
      </c>
      <c r="C8" s="105" t="s">
        <v>30</v>
      </c>
      <c r="D8" s="105"/>
      <c r="E8" s="106" t="s">
        <v>574</v>
      </c>
      <c r="F8" s="107" t="s">
        <v>575</v>
      </c>
      <c r="G8" s="108" t="s">
        <v>576</v>
      </c>
      <c r="H8" s="109" t="s">
        <v>577</v>
      </c>
      <c r="I8" s="110">
        <v>30</v>
      </c>
      <c r="J8" s="103">
        <v>100000</v>
      </c>
      <c r="K8" s="103">
        <v>80000</v>
      </c>
      <c r="L8" s="103">
        <v>20000</v>
      </c>
      <c r="M8" s="111">
        <f t="shared" si="0"/>
        <v>200000</v>
      </c>
      <c r="N8" s="103">
        <f t="shared" si="1"/>
        <v>200000</v>
      </c>
      <c r="O8" s="104">
        <f t="shared" si="2"/>
        <v>100000</v>
      </c>
      <c r="P8" s="104">
        <f t="shared" si="3"/>
        <v>80000</v>
      </c>
      <c r="Q8" s="104">
        <f t="shared" si="4"/>
        <v>20000</v>
      </c>
      <c r="R8" s="103"/>
      <c r="S8" s="112">
        <f t="shared" si="5"/>
        <v>200000</v>
      </c>
      <c r="T8" s="113">
        <v>0</v>
      </c>
      <c r="U8" s="113">
        <v>0</v>
      </c>
      <c r="V8" s="116"/>
      <c r="W8" s="111">
        <v>25000</v>
      </c>
      <c r="X8" s="104">
        <f t="shared" si="6"/>
        <v>25000</v>
      </c>
      <c r="Y8" s="112">
        <f t="shared" si="7"/>
        <v>175000</v>
      </c>
      <c r="AA8" s="115"/>
    </row>
    <row r="9" spans="1:27" ht="18" customHeight="1">
      <c r="A9" s="103" t="e">
        <f t="shared" si="8"/>
        <v>#REF!</v>
      </c>
      <c r="B9" s="117">
        <v>100624397758</v>
      </c>
      <c r="C9" s="105" t="s">
        <v>30</v>
      </c>
      <c r="D9" s="118" t="s">
        <v>43</v>
      </c>
      <c r="E9" s="119" t="s">
        <v>44</v>
      </c>
      <c r="F9" s="120" t="s">
        <v>45</v>
      </c>
      <c r="G9" s="121" t="s">
        <v>46</v>
      </c>
      <c r="H9" s="109">
        <v>740</v>
      </c>
      <c r="I9" s="122">
        <v>30</v>
      </c>
      <c r="J9" s="103">
        <v>20000</v>
      </c>
      <c r="K9" s="103">
        <v>16000</v>
      </c>
      <c r="L9" s="103">
        <v>4000</v>
      </c>
      <c r="M9" s="111">
        <f t="shared" si="0"/>
        <v>40000</v>
      </c>
      <c r="N9" s="103">
        <f t="shared" si="1"/>
        <v>40000</v>
      </c>
      <c r="O9" s="104">
        <f t="shared" si="2"/>
        <v>20000</v>
      </c>
      <c r="P9" s="104">
        <f t="shared" si="3"/>
        <v>16000</v>
      </c>
      <c r="Q9" s="104">
        <f t="shared" si="4"/>
        <v>4000</v>
      </c>
      <c r="R9" s="103"/>
      <c r="S9" s="112">
        <f t="shared" si="5"/>
        <v>40000</v>
      </c>
      <c r="T9" s="103">
        <f>ROUND(IF(J9&gt;15000,(15000/$AA$3*I9)*12%,O9*12%)*1,0)</f>
        <v>1800</v>
      </c>
      <c r="U9" s="113">
        <v>0</v>
      </c>
      <c r="V9" s="116"/>
      <c r="W9" s="111"/>
      <c r="X9" s="104">
        <f t="shared" si="6"/>
        <v>1800</v>
      </c>
      <c r="Y9" s="112">
        <f t="shared" si="7"/>
        <v>38200</v>
      </c>
      <c r="AA9" s="115"/>
    </row>
    <row r="10" spans="1:27" ht="18" customHeight="1">
      <c r="A10" s="103" t="e">
        <f t="shared" si="8"/>
        <v>#REF!</v>
      </c>
      <c r="B10" s="104" t="s">
        <v>30</v>
      </c>
      <c r="C10" s="105" t="s">
        <v>30</v>
      </c>
      <c r="D10" s="105"/>
      <c r="E10" s="106" t="s">
        <v>578</v>
      </c>
      <c r="F10" s="107" t="s">
        <v>579</v>
      </c>
      <c r="G10" s="121" t="s">
        <v>580</v>
      </c>
      <c r="H10" s="109">
        <v>1095</v>
      </c>
      <c r="I10" s="110">
        <v>30</v>
      </c>
      <c r="J10" s="103">
        <v>75000</v>
      </c>
      <c r="K10" s="103">
        <v>60000</v>
      </c>
      <c r="L10" s="103">
        <v>15000</v>
      </c>
      <c r="M10" s="111">
        <f t="shared" si="0"/>
        <v>150000</v>
      </c>
      <c r="N10" s="103">
        <f t="shared" si="1"/>
        <v>150000</v>
      </c>
      <c r="O10" s="104">
        <f t="shared" si="2"/>
        <v>75000</v>
      </c>
      <c r="P10" s="104">
        <f t="shared" si="3"/>
        <v>60000</v>
      </c>
      <c r="Q10" s="104">
        <f t="shared" si="4"/>
        <v>15000</v>
      </c>
      <c r="R10" s="103"/>
      <c r="S10" s="112">
        <f t="shared" si="5"/>
        <v>150000</v>
      </c>
      <c r="T10" s="113">
        <v>0</v>
      </c>
      <c r="U10" s="113">
        <v>0</v>
      </c>
      <c r="V10" s="116"/>
      <c r="W10" s="111">
        <v>10000</v>
      </c>
      <c r="X10" s="104">
        <f t="shared" si="6"/>
        <v>10000</v>
      </c>
      <c r="Y10" s="112">
        <f t="shared" si="7"/>
        <v>140000</v>
      </c>
    </row>
    <row r="11" spans="1:27" ht="18" customHeight="1">
      <c r="A11" s="103" t="e">
        <f t="shared" si="8"/>
        <v>#REF!</v>
      </c>
      <c r="B11" s="104">
        <v>101492673753</v>
      </c>
      <c r="C11" s="105" t="s">
        <v>30</v>
      </c>
      <c r="D11" s="105"/>
      <c r="E11" s="119" t="s">
        <v>47</v>
      </c>
      <c r="F11" s="107" t="s">
        <v>48</v>
      </c>
      <c r="G11" s="121" t="s">
        <v>49</v>
      </c>
      <c r="H11" s="109">
        <v>735</v>
      </c>
      <c r="I11" s="122">
        <v>30</v>
      </c>
      <c r="J11" s="103">
        <v>50000</v>
      </c>
      <c r="K11" s="103">
        <v>40000</v>
      </c>
      <c r="L11" s="103">
        <v>10000</v>
      </c>
      <c r="M11" s="111">
        <f t="shared" si="0"/>
        <v>100000</v>
      </c>
      <c r="N11" s="103">
        <f t="shared" si="1"/>
        <v>100000</v>
      </c>
      <c r="O11" s="104">
        <f t="shared" si="2"/>
        <v>50000</v>
      </c>
      <c r="P11" s="104">
        <f t="shared" si="3"/>
        <v>40000</v>
      </c>
      <c r="Q11" s="104">
        <f t="shared" si="4"/>
        <v>10000</v>
      </c>
      <c r="R11" s="103"/>
      <c r="S11" s="112">
        <f t="shared" si="5"/>
        <v>100000</v>
      </c>
      <c r="T11" s="103">
        <f t="shared" ref="T11:T16" si="9">ROUND(IF(J11&gt;15000,(15000/$AA$3*I11)*12%,O11*12%)*1,0)</f>
        <v>1800</v>
      </c>
      <c r="U11" s="113">
        <v>0</v>
      </c>
      <c r="V11" s="116"/>
      <c r="W11" s="111"/>
      <c r="X11" s="104">
        <f t="shared" si="6"/>
        <v>1800</v>
      </c>
      <c r="Y11" s="112">
        <f t="shared" si="7"/>
        <v>98200</v>
      </c>
    </row>
    <row r="12" spans="1:27" ht="18" customHeight="1">
      <c r="A12" s="103" t="e">
        <f t="shared" si="8"/>
        <v>#REF!</v>
      </c>
      <c r="B12" s="117">
        <v>101509191705</v>
      </c>
      <c r="C12" s="105" t="s">
        <v>30</v>
      </c>
      <c r="D12" s="105"/>
      <c r="E12" s="119" t="s">
        <v>50</v>
      </c>
      <c r="F12" s="107" t="s">
        <v>51</v>
      </c>
      <c r="G12" s="121" t="s">
        <v>52</v>
      </c>
      <c r="H12" s="109">
        <v>724</v>
      </c>
      <c r="I12" s="122">
        <v>30</v>
      </c>
      <c r="J12" s="103">
        <v>37500</v>
      </c>
      <c r="K12" s="103">
        <v>30000</v>
      </c>
      <c r="L12" s="103">
        <v>7500</v>
      </c>
      <c r="M12" s="111">
        <f t="shared" si="0"/>
        <v>75000</v>
      </c>
      <c r="N12" s="103">
        <f t="shared" si="1"/>
        <v>75000</v>
      </c>
      <c r="O12" s="104">
        <f t="shared" si="2"/>
        <v>37500</v>
      </c>
      <c r="P12" s="104">
        <f t="shared" si="3"/>
        <v>30000</v>
      </c>
      <c r="Q12" s="104">
        <f t="shared" si="4"/>
        <v>7500</v>
      </c>
      <c r="R12" s="103"/>
      <c r="S12" s="112">
        <f t="shared" si="5"/>
        <v>75000</v>
      </c>
      <c r="T12" s="103">
        <f t="shared" si="9"/>
        <v>1800</v>
      </c>
      <c r="U12" s="113">
        <v>0</v>
      </c>
      <c r="V12" s="116"/>
      <c r="W12" s="111"/>
      <c r="X12" s="104">
        <f t="shared" si="6"/>
        <v>1800</v>
      </c>
      <c r="Y12" s="112">
        <f t="shared" si="7"/>
        <v>73200</v>
      </c>
    </row>
    <row r="13" spans="1:27" ht="18" customHeight="1">
      <c r="A13" s="103" t="e">
        <f t="shared" si="8"/>
        <v>#REF!</v>
      </c>
      <c r="B13" s="117">
        <v>101551216178</v>
      </c>
      <c r="C13" s="105" t="s">
        <v>30</v>
      </c>
      <c r="D13" s="105"/>
      <c r="E13" s="119" t="s">
        <v>53</v>
      </c>
      <c r="F13" s="107" t="s">
        <v>54</v>
      </c>
      <c r="G13" s="121" t="s">
        <v>55</v>
      </c>
      <c r="H13" s="109">
        <v>723</v>
      </c>
      <c r="I13" s="122">
        <v>30</v>
      </c>
      <c r="J13" s="103">
        <v>30000</v>
      </c>
      <c r="K13" s="103">
        <v>24000</v>
      </c>
      <c r="L13" s="103">
        <v>6000</v>
      </c>
      <c r="M13" s="111">
        <f t="shared" si="0"/>
        <v>60000</v>
      </c>
      <c r="N13" s="103">
        <f t="shared" si="1"/>
        <v>60000</v>
      </c>
      <c r="O13" s="104">
        <f t="shared" si="2"/>
        <v>30000</v>
      </c>
      <c r="P13" s="104">
        <f t="shared" si="3"/>
        <v>24000</v>
      </c>
      <c r="Q13" s="104">
        <f t="shared" si="4"/>
        <v>6000</v>
      </c>
      <c r="R13" s="103"/>
      <c r="S13" s="112">
        <f t="shared" si="5"/>
        <v>60000</v>
      </c>
      <c r="T13" s="103">
        <f t="shared" si="9"/>
        <v>1800</v>
      </c>
      <c r="U13" s="113">
        <v>0</v>
      </c>
      <c r="V13" s="116"/>
      <c r="W13" s="111"/>
      <c r="X13" s="104">
        <f t="shared" si="6"/>
        <v>1800</v>
      </c>
      <c r="Y13" s="112">
        <f t="shared" si="7"/>
        <v>58200</v>
      </c>
    </row>
    <row r="14" spans="1:27" ht="18" customHeight="1">
      <c r="A14" s="103" t="e">
        <f t="shared" si="8"/>
        <v>#REF!</v>
      </c>
      <c r="B14" s="117">
        <v>101558256223</v>
      </c>
      <c r="C14" s="105" t="s">
        <v>30</v>
      </c>
      <c r="D14" s="105"/>
      <c r="E14" s="119" t="s">
        <v>56</v>
      </c>
      <c r="F14" s="107" t="s">
        <v>57</v>
      </c>
      <c r="G14" s="121" t="s">
        <v>58</v>
      </c>
      <c r="H14" s="109">
        <v>717</v>
      </c>
      <c r="I14" s="122">
        <v>30</v>
      </c>
      <c r="J14" s="103">
        <v>27500</v>
      </c>
      <c r="K14" s="103">
        <v>22000</v>
      </c>
      <c r="L14" s="103">
        <v>5500</v>
      </c>
      <c r="M14" s="111">
        <f t="shared" si="0"/>
        <v>55000</v>
      </c>
      <c r="N14" s="103">
        <f t="shared" si="1"/>
        <v>55000</v>
      </c>
      <c r="O14" s="104">
        <f t="shared" si="2"/>
        <v>27500</v>
      </c>
      <c r="P14" s="104">
        <f t="shared" si="3"/>
        <v>22000</v>
      </c>
      <c r="Q14" s="104">
        <f t="shared" si="4"/>
        <v>5500</v>
      </c>
      <c r="R14" s="103"/>
      <c r="S14" s="112">
        <f t="shared" si="5"/>
        <v>55000</v>
      </c>
      <c r="T14" s="103">
        <f t="shared" si="9"/>
        <v>1800</v>
      </c>
      <c r="U14" s="113">
        <v>0</v>
      </c>
      <c r="V14" s="116"/>
      <c r="W14" s="111"/>
      <c r="X14" s="104">
        <f t="shared" si="6"/>
        <v>1800</v>
      </c>
      <c r="Y14" s="112">
        <f t="shared" si="7"/>
        <v>53200</v>
      </c>
    </row>
    <row r="15" spans="1:27" ht="18" customHeight="1">
      <c r="A15" s="103" t="e">
        <f t="shared" si="8"/>
        <v>#REF!</v>
      </c>
      <c r="B15" s="117">
        <v>101086703725</v>
      </c>
      <c r="C15" s="105" t="s">
        <v>30</v>
      </c>
      <c r="D15" s="105"/>
      <c r="E15" s="106" t="s">
        <v>59</v>
      </c>
      <c r="F15" s="107" t="s">
        <v>60</v>
      </c>
      <c r="G15" s="121" t="s">
        <v>61</v>
      </c>
      <c r="H15" s="109">
        <v>720</v>
      </c>
      <c r="I15" s="122">
        <v>30</v>
      </c>
      <c r="J15" s="103">
        <v>60000</v>
      </c>
      <c r="K15" s="103">
        <v>48000</v>
      </c>
      <c r="L15" s="103">
        <v>12000</v>
      </c>
      <c r="M15" s="111">
        <f t="shared" si="0"/>
        <v>120000</v>
      </c>
      <c r="N15" s="103">
        <f t="shared" si="1"/>
        <v>120000</v>
      </c>
      <c r="O15" s="104">
        <f t="shared" si="2"/>
        <v>60000</v>
      </c>
      <c r="P15" s="104">
        <f t="shared" si="3"/>
        <v>48000</v>
      </c>
      <c r="Q15" s="104">
        <f t="shared" si="4"/>
        <v>12000</v>
      </c>
      <c r="R15" s="103"/>
      <c r="S15" s="112">
        <f t="shared" si="5"/>
        <v>120000</v>
      </c>
      <c r="T15" s="103">
        <f t="shared" si="9"/>
        <v>1800</v>
      </c>
      <c r="U15" s="113">
        <v>0</v>
      </c>
      <c r="V15" s="116"/>
      <c r="W15" s="111">
        <v>5000</v>
      </c>
      <c r="X15" s="104">
        <f t="shared" si="6"/>
        <v>6800</v>
      </c>
      <c r="Y15" s="112">
        <f t="shared" si="7"/>
        <v>113200</v>
      </c>
    </row>
    <row r="16" spans="1:27" ht="18" customHeight="1">
      <c r="A16" s="103" t="e">
        <f t="shared" si="8"/>
        <v>#REF!</v>
      </c>
      <c r="B16" s="117">
        <v>101025339783</v>
      </c>
      <c r="C16" s="105" t="s">
        <v>30</v>
      </c>
      <c r="D16" s="105"/>
      <c r="E16" s="106" t="s">
        <v>62</v>
      </c>
      <c r="F16" s="107" t="s">
        <v>63</v>
      </c>
      <c r="G16" s="121" t="s">
        <v>64</v>
      </c>
      <c r="H16" s="109">
        <v>719</v>
      </c>
      <c r="I16" s="122">
        <v>30</v>
      </c>
      <c r="J16" s="103">
        <v>60000</v>
      </c>
      <c r="K16" s="103">
        <v>48000</v>
      </c>
      <c r="L16" s="103">
        <v>12000</v>
      </c>
      <c r="M16" s="111">
        <f t="shared" si="0"/>
        <v>120000</v>
      </c>
      <c r="N16" s="103">
        <f t="shared" si="1"/>
        <v>120000</v>
      </c>
      <c r="O16" s="104">
        <f t="shared" si="2"/>
        <v>60000</v>
      </c>
      <c r="P16" s="104">
        <f t="shared" si="3"/>
        <v>48000</v>
      </c>
      <c r="Q16" s="104">
        <f t="shared" si="4"/>
        <v>12000</v>
      </c>
      <c r="R16" s="103"/>
      <c r="S16" s="112">
        <f t="shared" si="5"/>
        <v>120000</v>
      </c>
      <c r="T16" s="103">
        <f t="shared" si="9"/>
        <v>1800</v>
      </c>
      <c r="U16" s="113">
        <v>0</v>
      </c>
      <c r="V16" s="123"/>
      <c r="W16" s="111">
        <v>5000</v>
      </c>
      <c r="X16" s="104">
        <f t="shared" si="6"/>
        <v>6800</v>
      </c>
      <c r="Y16" s="112">
        <f t="shared" si="7"/>
        <v>113200</v>
      </c>
    </row>
    <row r="17" spans="1:25" ht="18" customHeight="1">
      <c r="A17" s="103" t="e">
        <f t="shared" si="8"/>
        <v>#REF!</v>
      </c>
      <c r="B17" s="104" t="s">
        <v>30</v>
      </c>
      <c r="C17" s="105" t="s">
        <v>30</v>
      </c>
      <c r="D17" s="105"/>
      <c r="E17" s="106" t="s">
        <v>581</v>
      </c>
      <c r="F17" s="107" t="s">
        <v>582</v>
      </c>
      <c r="G17" s="121" t="s">
        <v>583</v>
      </c>
      <c r="H17" s="109" t="s">
        <v>584</v>
      </c>
      <c r="I17" s="110">
        <v>30</v>
      </c>
      <c r="J17" s="103">
        <v>45000</v>
      </c>
      <c r="K17" s="103">
        <v>36000</v>
      </c>
      <c r="L17" s="103">
        <v>9000</v>
      </c>
      <c r="M17" s="111">
        <f t="shared" si="0"/>
        <v>90000</v>
      </c>
      <c r="N17" s="103">
        <f t="shared" si="1"/>
        <v>90000</v>
      </c>
      <c r="O17" s="104">
        <f t="shared" si="2"/>
        <v>45000</v>
      </c>
      <c r="P17" s="104">
        <f t="shared" si="3"/>
        <v>36000</v>
      </c>
      <c r="Q17" s="104">
        <f t="shared" si="4"/>
        <v>9000</v>
      </c>
      <c r="R17" s="103"/>
      <c r="S17" s="112">
        <f t="shared" si="5"/>
        <v>90000</v>
      </c>
      <c r="T17" s="113">
        <v>0</v>
      </c>
      <c r="U17" s="113">
        <v>0</v>
      </c>
      <c r="V17" s="123"/>
      <c r="W17" s="111"/>
      <c r="X17" s="104">
        <f t="shared" si="6"/>
        <v>0</v>
      </c>
      <c r="Y17" s="112">
        <f t="shared" si="7"/>
        <v>90000</v>
      </c>
    </row>
    <row r="18" spans="1:25" ht="18" customHeight="1">
      <c r="A18" s="103" t="e">
        <f t="shared" si="8"/>
        <v>#REF!</v>
      </c>
      <c r="B18" s="104" t="s">
        <v>30</v>
      </c>
      <c r="C18" s="105" t="s">
        <v>30</v>
      </c>
      <c r="D18" s="105"/>
      <c r="E18" s="106" t="s">
        <v>585</v>
      </c>
      <c r="F18" s="107" t="s">
        <v>586</v>
      </c>
      <c r="G18" s="121" t="s">
        <v>587</v>
      </c>
      <c r="H18" s="109" t="s">
        <v>588</v>
      </c>
      <c r="I18" s="110">
        <v>30</v>
      </c>
      <c r="J18" s="103">
        <v>33000</v>
      </c>
      <c r="K18" s="103">
        <v>26400</v>
      </c>
      <c r="L18" s="103">
        <v>6600</v>
      </c>
      <c r="M18" s="111">
        <f t="shared" si="0"/>
        <v>66000</v>
      </c>
      <c r="N18" s="103">
        <f t="shared" si="1"/>
        <v>66000</v>
      </c>
      <c r="O18" s="104">
        <f t="shared" si="2"/>
        <v>33000</v>
      </c>
      <c r="P18" s="104">
        <f t="shared" si="3"/>
        <v>26400</v>
      </c>
      <c r="Q18" s="104">
        <f t="shared" si="4"/>
        <v>6600</v>
      </c>
      <c r="R18" s="103"/>
      <c r="S18" s="112">
        <f t="shared" si="5"/>
        <v>66000</v>
      </c>
      <c r="T18" s="113">
        <v>0</v>
      </c>
      <c r="U18" s="113">
        <v>0</v>
      </c>
      <c r="V18" s="123"/>
      <c r="W18" s="111"/>
      <c r="X18" s="104">
        <f t="shared" si="6"/>
        <v>0</v>
      </c>
      <c r="Y18" s="112">
        <f t="shared" si="7"/>
        <v>66000</v>
      </c>
    </row>
    <row r="19" spans="1:25" ht="18" customHeight="1">
      <c r="A19" s="103" t="e">
        <f t="shared" si="8"/>
        <v>#REF!</v>
      </c>
      <c r="B19" s="104" t="s">
        <v>30</v>
      </c>
      <c r="C19" s="105" t="s">
        <v>30</v>
      </c>
      <c r="D19" s="105"/>
      <c r="E19" s="106" t="s">
        <v>589</v>
      </c>
      <c r="F19" s="107" t="s">
        <v>590</v>
      </c>
      <c r="G19" s="121" t="s">
        <v>591</v>
      </c>
      <c r="H19" s="109" t="s">
        <v>592</v>
      </c>
      <c r="I19" s="110">
        <v>30</v>
      </c>
      <c r="J19" s="103">
        <v>48500</v>
      </c>
      <c r="K19" s="103">
        <v>38800</v>
      </c>
      <c r="L19" s="103">
        <v>9700</v>
      </c>
      <c r="M19" s="111">
        <f t="shared" si="0"/>
        <v>97000</v>
      </c>
      <c r="N19" s="103">
        <f t="shared" si="1"/>
        <v>97000</v>
      </c>
      <c r="O19" s="104">
        <f t="shared" si="2"/>
        <v>48500</v>
      </c>
      <c r="P19" s="104">
        <f t="shared" si="3"/>
        <v>38800</v>
      </c>
      <c r="Q19" s="104">
        <f t="shared" si="4"/>
        <v>9700</v>
      </c>
      <c r="R19" s="103"/>
      <c r="S19" s="112">
        <f t="shared" si="5"/>
        <v>97000</v>
      </c>
      <c r="T19" s="113">
        <v>0</v>
      </c>
      <c r="U19" s="113">
        <v>0</v>
      </c>
      <c r="V19" s="123"/>
      <c r="W19" s="111"/>
      <c r="X19" s="104">
        <f t="shared" si="6"/>
        <v>0</v>
      </c>
      <c r="Y19" s="112">
        <f t="shared" si="7"/>
        <v>97000</v>
      </c>
    </row>
    <row r="20" spans="1:25" ht="18" customHeight="1">
      <c r="A20" s="103" t="e">
        <f t="shared" si="8"/>
        <v>#REF!</v>
      </c>
      <c r="B20" s="104" t="s">
        <v>30</v>
      </c>
      <c r="C20" s="105" t="s">
        <v>30</v>
      </c>
      <c r="D20" s="105"/>
      <c r="E20" s="106" t="s">
        <v>593</v>
      </c>
      <c r="F20" s="107" t="s">
        <v>594</v>
      </c>
      <c r="G20" s="108" t="s">
        <v>595</v>
      </c>
      <c r="H20" s="109" t="s">
        <v>596</v>
      </c>
      <c r="I20" s="110">
        <v>30</v>
      </c>
      <c r="J20" s="103">
        <v>35000</v>
      </c>
      <c r="K20" s="103">
        <v>28000</v>
      </c>
      <c r="L20" s="103">
        <v>7000</v>
      </c>
      <c r="M20" s="111">
        <f t="shared" si="0"/>
        <v>70000</v>
      </c>
      <c r="N20" s="103">
        <f t="shared" si="1"/>
        <v>70000</v>
      </c>
      <c r="O20" s="104">
        <f t="shared" si="2"/>
        <v>35000</v>
      </c>
      <c r="P20" s="104">
        <f t="shared" si="3"/>
        <v>28000</v>
      </c>
      <c r="Q20" s="104">
        <f t="shared" si="4"/>
        <v>7000</v>
      </c>
      <c r="R20" s="103"/>
      <c r="S20" s="112">
        <f t="shared" si="5"/>
        <v>70000</v>
      </c>
      <c r="T20" s="113">
        <v>0</v>
      </c>
      <c r="U20" s="113">
        <v>0</v>
      </c>
      <c r="V20" s="114"/>
      <c r="W20" s="112"/>
      <c r="X20" s="104">
        <f t="shared" si="6"/>
        <v>0</v>
      </c>
      <c r="Y20" s="112">
        <f t="shared" si="7"/>
        <v>70000</v>
      </c>
    </row>
    <row r="21" spans="1:25" ht="18" customHeight="1">
      <c r="A21" s="103" t="e">
        <f t="shared" si="8"/>
        <v>#REF!</v>
      </c>
      <c r="B21" s="117">
        <v>100347304092</v>
      </c>
      <c r="C21" s="105" t="s">
        <v>30</v>
      </c>
      <c r="D21" s="105"/>
      <c r="E21" s="124" t="s">
        <v>65</v>
      </c>
      <c r="F21" s="107" t="s">
        <v>66</v>
      </c>
      <c r="G21" s="108" t="s">
        <v>67</v>
      </c>
      <c r="H21" s="109">
        <v>706</v>
      </c>
      <c r="I21" s="122">
        <v>30</v>
      </c>
      <c r="J21" s="103">
        <v>25000</v>
      </c>
      <c r="K21" s="103">
        <v>20000</v>
      </c>
      <c r="L21" s="103">
        <v>5000</v>
      </c>
      <c r="M21" s="111">
        <f t="shared" si="0"/>
        <v>50000</v>
      </c>
      <c r="N21" s="103">
        <f t="shared" si="1"/>
        <v>50000</v>
      </c>
      <c r="O21" s="104">
        <f t="shared" si="2"/>
        <v>25000</v>
      </c>
      <c r="P21" s="104">
        <f t="shared" si="3"/>
        <v>20000</v>
      </c>
      <c r="Q21" s="104">
        <f t="shared" si="4"/>
        <v>5000</v>
      </c>
      <c r="R21" s="103"/>
      <c r="S21" s="112">
        <f t="shared" si="5"/>
        <v>50000</v>
      </c>
      <c r="T21" s="103">
        <f t="shared" ref="T21:T30" si="10">ROUND(IF(J21&gt;15000,(15000/$AA$3*I21)*12%,O21*12%)*1,0)</f>
        <v>1800</v>
      </c>
      <c r="U21" s="113">
        <v>0</v>
      </c>
      <c r="V21" s="116"/>
      <c r="W21" s="111"/>
      <c r="X21" s="104">
        <f t="shared" si="6"/>
        <v>1800</v>
      </c>
      <c r="Y21" s="112">
        <f t="shared" si="7"/>
        <v>48200</v>
      </c>
    </row>
    <row r="22" spans="1:25" ht="18" customHeight="1">
      <c r="A22" s="103" t="e">
        <f t="shared" si="8"/>
        <v>#REF!</v>
      </c>
      <c r="B22" s="117">
        <v>101662254756</v>
      </c>
      <c r="C22" s="105" t="s">
        <v>30</v>
      </c>
      <c r="D22" s="105"/>
      <c r="E22" s="124" t="s">
        <v>68</v>
      </c>
      <c r="F22" s="107" t="s">
        <v>69</v>
      </c>
      <c r="G22" s="108" t="s">
        <v>70</v>
      </c>
      <c r="H22" s="109">
        <v>701</v>
      </c>
      <c r="I22" s="122">
        <v>30</v>
      </c>
      <c r="J22" s="103">
        <v>36500</v>
      </c>
      <c r="K22" s="103">
        <v>29200</v>
      </c>
      <c r="L22" s="103">
        <v>7300</v>
      </c>
      <c r="M22" s="111">
        <f t="shared" si="0"/>
        <v>73000</v>
      </c>
      <c r="N22" s="103">
        <f t="shared" si="1"/>
        <v>73000</v>
      </c>
      <c r="O22" s="104">
        <f t="shared" si="2"/>
        <v>36500</v>
      </c>
      <c r="P22" s="104">
        <f t="shared" si="3"/>
        <v>29200</v>
      </c>
      <c r="Q22" s="104">
        <f t="shared" si="4"/>
        <v>7300</v>
      </c>
      <c r="R22" s="103"/>
      <c r="S22" s="112">
        <f t="shared" si="5"/>
        <v>73000</v>
      </c>
      <c r="T22" s="103">
        <f t="shared" si="10"/>
        <v>1800</v>
      </c>
      <c r="U22" s="113">
        <v>0</v>
      </c>
      <c r="V22" s="116"/>
      <c r="W22" s="111"/>
      <c r="X22" s="104">
        <f t="shared" si="6"/>
        <v>1800</v>
      </c>
      <c r="Y22" s="112">
        <f t="shared" si="7"/>
        <v>71200</v>
      </c>
    </row>
    <row r="23" spans="1:25" ht="18" customHeight="1">
      <c r="A23" s="103" t="e">
        <f t="shared" si="8"/>
        <v>#REF!</v>
      </c>
      <c r="B23" s="117">
        <v>101135768925</v>
      </c>
      <c r="C23" s="105" t="s">
        <v>30</v>
      </c>
      <c r="D23" s="105"/>
      <c r="E23" s="124" t="s">
        <v>71</v>
      </c>
      <c r="F23" s="107" t="s">
        <v>72</v>
      </c>
      <c r="G23" s="108" t="s">
        <v>73</v>
      </c>
      <c r="H23" s="109">
        <v>699</v>
      </c>
      <c r="I23" s="122">
        <v>30</v>
      </c>
      <c r="J23" s="103">
        <v>25000</v>
      </c>
      <c r="K23" s="103">
        <v>20000</v>
      </c>
      <c r="L23" s="103">
        <v>5000</v>
      </c>
      <c r="M23" s="111">
        <f t="shared" si="0"/>
        <v>50000</v>
      </c>
      <c r="N23" s="103">
        <f t="shared" si="1"/>
        <v>50000</v>
      </c>
      <c r="O23" s="104">
        <f t="shared" si="2"/>
        <v>25000</v>
      </c>
      <c r="P23" s="104">
        <f t="shared" si="3"/>
        <v>20000</v>
      </c>
      <c r="Q23" s="104">
        <f t="shared" si="4"/>
        <v>5000</v>
      </c>
      <c r="R23" s="103"/>
      <c r="S23" s="112">
        <f t="shared" si="5"/>
        <v>50000</v>
      </c>
      <c r="T23" s="103">
        <f t="shared" si="10"/>
        <v>1800</v>
      </c>
      <c r="U23" s="113">
        <v>0</v>
      </c>
      <c r="V23" s="116"/>
      <c r="W23" s="111"/>
      <c r="X23" s="104">
        <f t="shared" si="6"/>
        <v>1800</v>
      </c>
      <c r="Y23" s="112">
        <f t="shared" si="7"/>
        <v>48200</v>
      </c>
    </row>
    <row r="24" spans="1:25" ht="18" customHeight="1">
      <c r="A24" s="103" t="e">
        <f t="shared" si="8"/>
        <v>#REF!</v>
      </c>
      <c r="B24" s="117">
        <v>100585048855</v>
      </c>
      <c r="C24" s="105" t="s">
        <v>30</v>
      </c>
      <c r="D24" s="118" t="s">
        <v>43</v>
      </c>
      <c r="E24" s="124" t="s">
        <v>74</v>
      </c>
      <c r="F24" s="107" t="s">
        <v>75</v>
      </c>
      <c r="G24" s="108" t="s">
        <v>76</v>
      </c>
      <c r="H24" s="109">
        <v>696</v>
      </c>
      <c r="I24" s="122">
        <v>30</v>
      </c>
      <c r="J24" s="103">
        <v>25000</v>
      </c>
      <c r="K24" s="103">
        <v>20000</v>
      </c>
      <c r="L24" s="103">
        <v>5000</v>
      </c>
      <c r="M24" s="111">
        <f t="shared" si="0"/>
        <v>50000</v>
      </c>
      <c r="N24" s="103">
        <f t="shared" si="1"/>
        <v>50000</v>
      </c>
      <c r="O24" s="104">
        <f t="shared" si="2"/>
        <v>25000</v>
      </c>
      <c r="P24" s="104">
        <f t="shared" si="3"/>
        <v>20000</v>
      </c>
      <c r="Q24" s="104">
        <f t="shared" si="4"/>
        <v>5000</v>
      </c>
      <c r="R24" s="103"/>
      <c r="S24" s="112">
        <f t="shared" si="5"/>
        <v>50000</v>
      </c>
      <c r="T24" s="103">
        <f t="shared" si="10"/>
        <v>1800</v>
      </c>
      <c r="U24" s="113">
        <v>0</v>
      </c>
      <c r="V24" s="116"/>
      <c r="W24" s="111"/>
      <c r="X24" s="104">
        <f t="shared" si="6"/>
        <v>1800</v>
      </c>
      <c r="Y24" s="112">
        <f t="shared" si="7"/>
        <v>48200</v>
      </c>
    </row>
    <row r="25" spans="1:25" ht="18" customHeight="1">
      <c r="A25" s="103" t="e">
        <f t="shared" si="8"/>
        <v>#REF!</v>
      </c>
      <c r="B25" s="117">
        <v>101713964656</v>
      </c>
      <c r="C25" s="105" t="s">
        <v>30</v>
      </c>
      <c r="D25" s="105"/>
      <c r="E25" s="125" t="s">
        <v>77</v>
      </c>
      <c r="F25" s="126" t="s">
        <v>78</v>
      </c>
      <c r="G25" s="108" t="s">
        <v>79</v>
      </c>
      <c r="H25" s="109">
        <v>693</v>
      </c>
      <c r="I25" s="122">
        <v>30</v>
      </c>
      <c r="J25" s="103">
        <v>15180</v>
      </c>
      <c r="K25" s="103">
        <v>12144</v>
      </c>
      <c r="L25" s="103">
        <v>3036</v>
      </c>
      <c r="M25" s="111">
        <f t="shared" si="0"/>
        <v>30360</v>
      </c>
      <c r="N25" s="103">
        <f t="shared" si="1"/>
        <v>30360</v>
      </c>
      <c r="O25" s="104">
        <f t="shared" si="2"/>
        <v>15180</v>
      </c>
      <c r="P25" s="104">
        <f t="shared" si="3"/>
        <v>12144</v>
      </c>
      <c r="Q25" s="104">
        <f t="shared" si="4"/>
        <v>3036</v>
      </c>
      <c r="R25" s="103"/>
      <c r="S25" s="112">
        <f t="shared" si="5"/>
        <v>30360</v>
      </c>
      <c r="T25" s="103">
        <f t="shared" si="10"/>
        <v>1800</v>
      </c>
      <c r="U25" s="113">
        <v>0</v>
      </c>
      <c r="V25" s="116"/>
      <c r="W25" s="111"/>
      <c r="X25" s="104">
        <f t="shared" si="6"/>
        <v>1800</v>
      </c>
      <c r="Y25" s="112">
        <f t="shared" si="7"/>
        <v>28560</v>
      </c>
    </row>
    <row r="26" spans="1:25" ht="18" customHeight="1">
      <c r="A26" s="103" t="e">
        <f t="shared" si="8"/>
        <v>#REF!</v>
      </c>
      <c r="B26" s="117">
        <v>101713964687</v>
      </c>
      <c r="C26" s="105">
        <v>6720277768</v>
      </c>
      <c r="D26" s="118" t="s">
        <v>43</v>
      </c>
      <c r="E26" s="124" t="s">
        <v>80</v>
      </c>
      <c r="F26" s="126" t="s">
        <v>81</v>
      </c>
      <c r="G26" s="127"/>
      <c r="H26" s="109" t="s">
        <v>82</v>
      </c>
      <c r="I26" s="122">
        <v>30</v>
      </c>
      <c r="J26" s="103">
        <v>13580</v>
      </c>
      <c r="K26" s="103">
        <v>1420</v>
      </c>
      <c r="L26" s="103">
        <v>0</v>
      </c>
      <c r="M26" s="111">
        <f t="shared" si="0"/>
        <v>15000</v>
      </c>
      <c r="N26" s="103">
        <f t="shared" si="1"/>
        <v>15000</v>
      </c>
      <c r="O26" s="104">
        <f t="shared" si="2"/>
        <v>13580</v>
      </c>
      <c r="P26" s="104">
        <f t="shared" si="3"/>
        <v>1420</v>
      </c>
      <c r="Q26" s="104">
        <f t="shared" si="4"/>
        <v>0</v>
      </c>
      <c r="R26" s="103"/>
      <c r="S26" s="112">
        <f t="shared" si="5"/>
        <v>15000</v>
      </c>
      <c r="T26" s="103">
        <f t="shared" si="10"/>
        <v>1630</v>
      </c>
      <c r="U26" s="104">
        <f>ROUNDUP(S26*0.75/100,0)</f>
        <v>113</v>
      </c>
      <c r="V26" s="116"/>
      <c r="W26" s="111"/>
      <c r="X26" s="104">
        <f t="shared" si="6"/>
        <v>1743</v>
      </c>
      <c r="Y26" s="112">
        <f t="shared" si="7"/>
        <v>13257</v>
      </c>
    </row>
    <row r="27" spans="1:25" ht="18" customHeight="1">
      <c r="A27" s="103" t="e">
        <f t="shared" si="8"/>
        <v>#REF!</v>
      </c>
      <c r="B27" s="117">
        <v>100578617888</v>
      </c>
      <c r="C27" s="105" t="s">
        <v>30</v>
      </c>
      <c r="D27" s="118"/>
      <c r="E27" s="124" t="s">
        <v>83</v>
      </c>
      <c r="F27" s="126" t="s">
        <v>84</v>
      </c>
      <c r="G27" s="108" t="s">
        <v>85</v>
      </c>
      <c r="H27" s="109">
        <v>692</v>
      </c>
      <c r="I27" s="122">
        <v>30</v>
      </c>
      <c r="J27" s="103">
        <v>23499</v>
      </c>
      <c r="K27" s="103">
        <v>18799</v>
      </c>
      <c r="L27" s="103">
        <v>4700</v>
      </c>
      <c r="M27" s="111">
        <f t="shared" si="0"/>
        <v>46998</v>
      </c>
      <c r="N27" s="103">
        <f t="shared" si="1"/>
        <v>46998</v>
      </c>
      <c r="O27" s="104">
        <f t="shared" si="2"/>
        <v>23499</v>
      </c>
      <c r="P27" s="104">
        <f t="shared" si="3"/>
        <v>18799</v>
      </c>
      <c r="Q27" s="104">
        <f t="shared" si="4"/>
        <v>4700</v>
      </c>
      <c r="R27" s="103"/>
      <c r="S27" s="112">
        <f t="shared" si="5"/>
        <v>46998</v>
      </c>
      <c r="T27" s="103">
        <f t="shared" si="10"/>
        <v>1800</v>
      </c>
      <c r="U27" s="113">
        <v>0</v>
      </c>
      <c r="V27" s="116"/>
      <c r="W27" s="111"/>
      <c r="X27" s="104">
        <f t="shared" si="6"/>
        <v>1800</v>
      </c>
      <c r="Y27" s="112">
        <f t="shared" si="7"/>
        <v>45198</v>
      </c>
    </row>
    <row r="28" spans="1:25" ht="18" customHeight="1">
      <c r="A28" s="103" t="e">
        <f t="shared" si="8"/>
        <v>#REF!</v>
      </c>
      <c r="B28" s="117">
        <v>100913349350</v>
      </c>
      <c r="C28" s="105" t="s">
        <v>30</v>
      </c>
      <c r="D28" s="118"/>
      <c r="E28" s="128" t="s">
        <v>86</v>
      </c>
      <c r="F28" s="129" t="s">
        <v>87</v>
      </c>
      <c r="G28" s="130" t="s">
        <v>88</v>
      </c>
      <c r="H28" s="109">
        <v>678</v>
      </c>
      <c r="I28" s="122">
        <v>30</v>
      </c>
      <c r="J28" s="103">
        <v>32500</v>
      </c>
      <c r="K28" s="103">
        <v>26000</v>
      </c>
      <c r="L28" s="103">
        <v>6500</v>
      </c>
      <c r="M28" s="111">
        <f t="shared" si="0"/>
        <v>65000</v>
      </c>
      <c r="N28" s="103">
        <f t="shared" si="1"/>
        <v>65000</v>
      </c>
      <c r="O28" s="104">
        <f t="shared" si="2"/>
        <v>32500</v>
      </c>
      <c r="P28" s="104">
        <f t="shared" si="3"/>
        <v>26000</v>
      </c>
      <c r="Q28" s="104">
        <f t="shared" si="4"/>
        <v>6500</v>
      </c>
      <c r="R28" s="103"/>
      <c r="S28" s="112">
        <f t="shared" si="5"/>
        <v>65000</v>
      </c>
      <c r="T28" s="103">
        <f t="shared" si="10"/>
        <v>1800</v>
      </c>
      <c r="U28" s="113">
        <v>0</v>
      </c>
      <c r="V28" s="116"/>
      <c r="W28" s="111"/>
      <c r="X28" s="104">
        <f t="shared" si="6"/>
        <v>1800</v>
      </c>
      <c r="Y28" s="112">
        <f t="shared" si="7"/>
        <v>63200</v>
      </c>
    </row>
    <row r="29" spans="1:25" ht="18" customHeight="1">
      <c r="A29" s="103" t="e">
        <f t="shared" si="8"/>
        <v>#REF!</v>
      </c>
      <c r="B29" s="117">
        <v>101678785195</v>
      </c>
      <c r="C29" s="118" t="s">
        <v>30</v>
      </c>
      <c r="D29" s="118" t="s">
        <v>43</v>
      </c>
      <c r="E29" s="131" t="s">
        <v>89</v>
      </c>
      <c r="F29" s="132" t="s">
        <v>90</v>
      </c>
      <c r="G29" s="133" t="s">
        <v>91</v>
      </c>
      <c r="H29" s="109">
        <v>672</v>
      </c>
      <c r="I29" s="122">
        <v>28.5</v>
      </c>
      <c r="J29" s="103">
        <v>16900</v>
      </c>
      <c r="K29" s="103">
        <v>13520</v>
      </c>
      <c r="L29" s="103">
        <v>3380</v>
      </c>
      <c r="M29" s="111">
        <f t="shared" si="0"/>
        <v>33800</v>
      </c>
      <c r="N29" s="103">
        <f t="shared" si="1"/>
        <v>33800</v>
      </c>
      <c r="O29" s="104">
        <f t="shared" si="2"/>
        <v>16055</v>
      </c>
      <c r="P29" s="104">
        <f t="shared" si="3"/>
        <v>12844</v>
      </c>
      <c r="Q29" s="104">
        <f t="shared" si="4"/>
        <v>3211</v>
      </c>
      <c r="R29" s="103"/>
      <c r="S29" s="112">
        <f t="shared" si="5"/>
        <v>32110</v>
      </c>
      <c r="T29" s="103">
        <f t="shared" si="10"/>
        <v>1710</v>
      </c>
      <c r="U29" s="113">
        <v>0</v>
      </c>
      <c r="V29" s="116"/>
      <c r="W29" s="111"/>
      <c r="X29" s="104">
        <f t="shared" si="6"/>
        <v>1710</v>
      </c>
      <c r="Y29" s="112">
        <f t="shared" si="7"/>
        <v>30400</v>
      </c>
    </row>
    <row r="30" spans="1:25" ht="18" customHeight="1">
      <c r="A30" s="103" t="e">
        <f t="shared" si="8"/>
        <v>#REF!</v>
      </c>
      <c r="B30" s="117">
        <v>101105629468</v>
      </c>
      <c r="C30" s="105" t="s">
        <v>30</v>
      </c>
      <c r="D30" s="118"/>
      <c r="E30" s="134" t="s">
        <v>92</v>
      </c>
      <c r="F30" s="135" t="s">
        <v>93</v>
      </c>
      <c r="G30" s="136" t="s">
        <v>94</v>
      </c>
      <c r="H30" s="109">
        <v>668</v>
      </c>
      <c r="I30" s="122">
        <v>30</v>
      </c>
      <c r="J30" s="103">
        <v>21000</v>
      </c>
      <c r="K30" s="103">
        <v>16800</v>
      </c>
      <c r="L30" s="103">
        <v>4200</v>
      </c>
      <c r="M30" s="111">
        <f t="shared" si="0"/>
        <v>42000</v>
      </c>
      <c r="N30" s="103">
        <f t="shared" si="1"/>
        <v>42000</v>
      </c>
      <c r="O30" s="104">
        <f t="shared" si="2"/>
        <v>21000</v>
      </c>
      <c r="P30" s="104">
        <f t="shared" si="3"/>
        <v>16800</v>
      </c>
      <c r="Q30" s="104">
        <f t="shared" si="4"/>
        <v>4200</v>
      </c>
      <c r="R30" s="103"/>
      <c r="S30" s="112">
        <f t="shared" si="5"/>
        <v>42000</v>
      </c>
      <c r="T30" s="103">
        <f t="shared" si="10"/>
        <v>1800</v>
      </c>
      <c r="U30" s="113">
        <v>0</v>
      </c>
      <c r="V30" s="116"/>
      <c r="W30" s="111"/>
      <c r="X30" s="104">
        <f t="shared" si="6"/>
        <v>1800</v>
      </c>
      <c r="Y30" s="112">
        <f t="shared" si="7"/>
        <v>40200</v>
      </c>
    </row>
    <row r="31" spans="1:25" ht="18" customHeight="1">
      <c r="A31" s="103" t="e">
        <f t="shared" si="8"/>
        <v>#REF!</v>
      </c>
      <c r="B31" s="104" t="s">
        <v>30</v>
      </c>
      <c r="C31" s="105" t="s">
        <v>30</v>
      </c>
      <c r="D31" s="118"/>
      <c r="E31" s="137" t="s">
        <v>597</v>
      </c>
      <c r="F31" s="138" t="s">
        <v>598</v>
      </c>
      <c r="G31" s="139" t="s">
        <v>599</v>
      </c>
      <c r="H31" s="140" t="s">
        <v>600</v>
      </c>
      <c r="I31" s="141">
        <v>30</v>
      </c>
      <c r="J31" s="103">
        <v>45500</v>
      </c>
      <c r="K31" s="103">
        <v>36400</v>
      </c>
      <c r="L31" s="103">
        <v>9100</v>
      </c>
      <c r="M31" s="111">
        <f t="shared" si="0"/>
        <v>91000</v>
      </c>
      <c r="N31" s="103">
        <f t="shared" si="1"/>
        <v>91000</v>
      </c>
      <c r="O31" s="104">
        <f t="shared" si="2"/>
        <v>45500</v>
      </c>
      <c r="P31" s="104">
        <f t="shared" si="3"/>
        <v>36400</v>
      </c>
      <c r="Q31" s="104">
        <f t="shared" si="4"/>
        <v>9100</v>
      </c>
      <c r="R31" s="103"/>
      <c r="S31" s="112">
        <f t="shared" si="5"/>
        <v>91000</v>
      </c>
      <c r="T31" s="113">
        <v>0</v>
      </c>
      <c r="U31" s="113">
        <v>0</v>
      </c>
      <c r="V31" s="116"/>
      <c r="W31" s="111"/>
      <c r="X31" s="104">
        <f t="shared" si="6"/>
        <v>0</v>
      </c>
      <c r="Y31" s="112">
        <f t="shared" si="7"/>
        <v>91000</v>
      </c>
    </row>
    <row r="32" spans="1:25" ht="18" customHeight="1">
      <c r="A32" s="103" t="e">
        <f t="shared" si="8"/>
        <v>#REF!</v>
      </c>
      <c r="B32" s="104" t="s">
        <v>30</v>
      </c>
      <c r="C32" s="105" t="s">
        <v>30</v>
      </c>
      <c r="D32" s="118"/>
      <c r="E32" s="137" t="s">
        <v>601</v>
      </c>
      <c r="F32" s="138" t="s">
        <v>602</v>
      </c>
      <c r="G32" s="139" t="s">
        <v>603</v>
      </c>
      <c r="H32" s="140" t="s">
        <v>604</v>
      </c>
      <c r="I32" s="141">
        <v>27</v>
      </c>
      <c r="J32" s="103">
        <v>46000</v>
      </c>
      <c r="K32" s="103">
        <v>36800</v>
      </c>
      <c r="L32" s="103">
        <v>9200</v>
      </c>
      <c r="M32" s="111">
        <f t="shared" si="0"/>
        <v>92000</v>
      </c>
      <c r="N32" s="103">
        <f t="shared" si="1"/>
        <v>92000</v>
      </c>
      <c r="O32" s="104">
        <f t="shared" si="2"/>
        <v>41400</v>
      </c>
      <c r="P32" s="104">
        <f t="shared" si="3"/>
        <v>33120</v>
      </c>
      <c r="Q32" s="104">
        <f t="shared" si="4"/>
        <v>8280</v>
      </c>
      <c r="R32" s="103"/>
      <c r="S32" s="112">
        <f t="shared" si="5"/>
        <v>82800</v>
      </c>
      <c r="T32" s="113">
        <v>0</v>
      </c>
      <c r="U32" s="113">
        <v>0</v>
      </c>
      <c r="V32" s="116"/>
      <c r="W32" s="111"/>
      <c r="X32" s="104">
        <f t="shared" si="6"/>
        <v>0</v>
      </c>
      <c r="Y32" s="112">
        <f t="shared" si="7"/>
        <v>82800</v>
      </c>
    </row>
    <row r="33" spans="1:25" ht="18" customHeight="1">
      <c r="A33" s="103" t="e">
        <f t="shared" si="8"/>
        <v>#REF!</v>
      </c>
      <c r="B33" s="104" t="s">
        <v>30</v>
      </c>
      <c r="C33" s="105" t="s">
        <v>30</v>
      </c>
      <c r="D33" s="118"/>
      <c r="E33" s="137" t="s">
        <v>605</v>
      </c>
      <c r="F33" s="138" t="s">
        <v>606</v>
      </c>
      <c r="G33" s="139" t="s">
        <v>607</v>
      </c>
      <c r="H33" s="140" t="s">
        <v>608</v>
      </c>
      <c r="I33" s="141">
        <v>30</v>
      </c>
      <c r="J33" s="103">
        <v>47000</v>
      </c>
      <c r="K33" s="103">
        <v>37600</v>
      </c>
      <c r="L33" s="103">
        <v>9400</v>
      </c>
      <c r="M33" s="111">
        <f t="shared" si="0"/>
        <v>94000</v>
      </c>
      <c r="N33" s="103">
        <f t="shared" si="1"/>
        <v>94000</v>
      </c>
      <c r="O33" s="104">
        <f t="shared" si="2"/>
        <v>47000</v>
      </c>
      <c r="P33" s="104">
        <f t="shared" si="3"/>
        <v>37600</v>
      </c>
      <c r="Q33" s="104">
        <f t="shared" si="4"/>
        <v>9400</v>
      </c>
      <c r="R33" s="103"/>
      <c r="S33" s="112">
        <f t="shared" si="5"/>
        <v>94000</v>
      </c>
      <c r="T33" s="113">
        <v>0</v>
      </c>
      <c r="U33" s="113">
        <v>0</v>
      </c>
      <c r="V33" s="116"/>
      <c r="W33" s="111"/>
      <c r="X33" s="104">
        <f t="shared" si="6"/>
        <v>0</v>
      </c>
      <c r="Y33" s="112">
        <f t="shared" si="7"/>
        <v>94000</v>
      </c>
    </row>
    <row r="34" spans="1:25" ht="18" customHeight="1">
      <c r="A34" s="103" t="e">
        <f t="shared" si="8"/>
        <v>#REF!</v>
      </c>
      <c r="B34" s="104" t="s">
        <v>30</v>
      </c>
      <c r="C34" s="105" t="s">
        <v>30</v>
      </c>
      <c r="D34" s="118"/>
      <c r="E34" s="137" t="s">
        <v>609</v>
      </c>
      <c r="F34" s="138" t="s">
        <v>610</v>
      </c>
      <c r="G34" s="139" t="s">
        <v>611</v>
      </c>
      <c r="H34" s="140" t="s">
        <v>612</v>
      </c>
      <c r="I34" s="141">
        <v>29</v>
      </c>
      <c r="J34" s="103">
        <v>48000</v>
      </c>
      <c r="K34" s="103">
        <v>38400</v>
      </c>
      <c r="L34" s="103">
        <v>9600</v>
      </c>
      <c r="M34" s="111">
        <f t="shared" si="0"/>
        <v>96000</v>
      </c>
      <c r="N34" s="103">
        <f t="shared" si="1"/>
        <v>96000</v>
      </c>
      <c r="O34" s="104">
        <f t="shared" si="2"/>
        <v>46400</v>
      </c>
      <c r="P34" s="104">
        <f t="shared" si="3"/>
        <v>37120</v>
      </c>
      <c r="Q34" s="104">
        <f t="shared" si="4"/>
        <v>9280</v>
      </c>
      <c r="R34" s="103"/>
      <c r="S34" s="112">
        <f t="shared" si="5"/>
        <v>92800</v>
      </c>
      <c r="T34" s="113">
        <v>0</v>
      </c>
      <c r="U34" s="113">
        <v>0</v>
      </c>
      <c r="V34" s="116"/>
      <c r="W34" s="111"/>
      <c r="X34" s="104">
        <f t="shared" si="6"/>
        <v>0</v>
      </c>
      <c r="Y34" s="112">
        <f t="shared" si="7"/>
        <v>92800</v>
      </c>
    </row>
    <row r="35" spans="1:25" ht="18" customHeight="1">
      <c r="A35" s="103" t="e">
        <f t="shared" si="8"/>
        <v>#REF!</v>
      </c>
      <c r="B35" s="104" t="s">
        <v>30</v>
      </c>
      <c r="C35" s="105" t="s">
        <v>30</v>
      </c>
      <c r="D35" s="118"/>
      <c r="E35" s="137" t="s">
        <v>613</v>
      </c>
      <c r="F35" s="138" t="s">
        <v>614</v>
      </c>
      <c r="G35" s="139" t="s">
        <v>615</v>
      </c>
      <c r="H35" s="140" t="s">
        <v>616</v>
      </c>
      <c r="I35" s="141">
        <v>30</v>
      </c>
      <c r="J35" s="103">
        <v>47500</v>
      </c>
      <c r="K35" s="103">
        <v>38000</v>
      </c>
      <c r="L35" s="103">
        <v>9500</v>
      </c>
      <c r="M35" s="111">
        <f t="shared" si="0"/>
        <v>95000</v>
      </c>
      <c r="N35" s="103">
        <f t="shared" si="1"/>
        <v>95000</v>
      </c>
      <c r="O35" s="104">
        <f t="shared" si="2"/>
        <v>47500</v>
      </c>
      <c r="P35" s="104">
        <f t="shared" si="3"/>
        <v>38000</v>
      </c>
      <c r="Q35" s="104">
        <f t="shared" si="4"/>
        <v>9500</v>
      </c>
      <c r="R35" s="103"/>
      <c r="S35" s="112">
        <f t="shared" si="5"/>
        <v>95000</v>
      </c>
      <c r="T35" s="113">
        <v>0</v>
      </c>
      <c r="U35" s="113">
        <v>0</v>
      </c>
      <c r="V35" s="116"/>
      <c r="W35" s="111"/>
      <c r="X35" s="104">
        <f t="shared" si="6"/>
        <v>0</v>
      </c>
      <c r="Y35" s="112">
        <f t="shared" si="7"/>
        <v>95000</v>
      </c>
    </row>
    <row r="36" spans="1:25" ht="18" customHeight="1">
      <c r="A36" s="103" t="e">
        <f t="shared" si="8"/>
        <v>#REF!</v>
      </c>
      <c r="B36" s="117">
        <v>101814883693</v>
      </c>
      <c r="C36" s="105" t="s">
        <v>30</v>
      </c>
      <c r="D36" s="118"/>
      <c r="E36" s="131" t="s">
        <v>95</v>
      </c>
      <c r="F36" s="132" t="s">
        <v>96</v>
      </c>
      <c r="G36" s="133" t="s">
        <v>97</v>
      </c>
      <c r="H36" s="109">
        <v>661</v>
      </c>
      <c r="I36" s="142">
        <v>30</v>
      </c>
      <c r="J36" s="103">
        <v>28500</v>
      </c>
      <c r="K36" s="103">
        <v>22800</v>
      </c>
      <c r="L36" s="103">
        <v>5700</v>
      </c>
      <c r="M36" s="111">
        <f t="shared" si="0"/>
        <v>57000</v>
      </c>
      <c r="N36" s="103">
        <f t="shared" si="1"/>
        <v>57000</v>
      </c>
      <c r="O36" s="104">
        <f t="shared" si="2"/>
        <v>28500</v>
      </c>
      <c r="P36" s="104">
        <f t="shared" si="3"/>
        <v>22800</v>
      </c>
      <c r="Q36" s="104">
        <f t="shared" si="4"/>
        <v>5700</v>
      </c>
      <c r="R36" s="103"/>
      <c r="S36" s="112">
        <f t="shared" si="5"/>
        <v>57000</v>
      </c>
      <c r="T36" s="103">
        <f>ROUND(IF(J36&gt;15000,(15000/$AA$3*I36)*12%,O36*12%)*1,0)</f>
        <v>1800</v>
      </c>
      <c r="U36" s="113">
        <v>0</v>
      </c>
      <c r="V36" s="116"/>
      <c r="W36" s="111"/>
      <c r="X36" s="104">
        <f t="shared" si="6"/>
        <v>1800</v>
      </c>
      <c r="Y36" s="112">
        <f t="shared" si="7"/>
        <v>55200</v>
      </c>
    </row>
    <row r="37" spans="1:25" ht="18" customHeight="1">
      <c r="A37" s="103" t="e">
        <f t="shared" si="8"/>
        <v>#REF!</v>
      </c>
      <c r="B37" s="117">
        <v>101814883686</v>
      </c>
      <c r="C37" s="105" t="s">
        <v>30</v>
      </c>
      <c r="D37" s="118" t="s">
        <v>43</v>
      </c>
      <c r="E37" s="131" t="s">
        <v>98</v>
      </c>
      <c r="F37" s="132" t="s">
        <v>99</v>
      </c>
      <c r="G37" s="133" t="s">
        <v>100</v>
      </c>
      <c r="H37" s="109">
        <v>655</v>
      </c>
      <c r="I37" s="122">
        <v>29.5</v>
      </c>
      <c r="J37" s="103">
        <v>25000</v>
      </c>
      <c r="K37" s="103">
        <v>20000</v>
      </c>
      <c r="L37" s="103">
        <v>5000</v>
      </c>
      <c r="M37" s="111">
        <f t="shared" si="0"/>
        <v>50000</v>
      </c>
      <c r="N37" s="103">
        <f t="shared" si="1"/>
        <v>50000</v>
      </c>
      <c r="O37" s="104">
        <f t="shared" si="2"/>
        <v>24583</v>
      </c>
      <c r="P37" s="104">
        <f t="shared" si="3"/>
        <v>19667</v>
      </c>
      <c r="Q37" s="104">
        <f t="shared" si="4"/>
        <v>4917</v>
      </c>
      <c r="R37" s="103"/>
      <c r="S37" s="112">
        <f t="shared" si="5"/>
        <v>49167</v>
      </c>
      <c r="T37" s="103">
        <f>ROUND(IF(J37&gt;15000,(15000/$AA$3*I37)*12%,O37*12%)*1,0)</f>
        <v>1770</v>
      </c>
      <c r="U37" s="113">
        <v>0</v>
      </c>
      <c r="V37" s="116"/>
      <c r="W37" s="111"/>
      <c r="X37" s="104">
        <f t="shared" si="6"/>
        <v>1770</v>
      </c>
      <c r="Y37" s="112">
        <f t="shared" si="7"/>
        <v>47397</v>
      </c>
    </row>
    <row r="38" spans="1:25" ht="18" customHeight="1">
      <c r="A38" s="103" t="e">
        <f t="shared" si="8"/>
        <v>#REF!</v>
      </c>
      <c r="B38" s="117">
        <v>101814883655</v>
      </c>
      <c r="C38" s="118" t="s">
        <v>30</v>
      </c>
      <c r="D38" s="118" t="s">
        <v>43</v>
      </c>
      <c r="E38" s="131" t="s">
        <v>101</v>
      </c>
      <c r="F38" s="143" t="s">
        <v>102</v>
      </c>
      <c r="G38" s="144" t="s">
        <v>103</v>
      </c>
      <c r="H38" s="109">
        <v>653</v>
      </c>
      <c r="I38" s="122">
        <v>30</v>
      </c>
      <c r="J38" s="103">
        <v>30000</v>
      </c>
      <c r="K38" s="103">
        <v>24000</v>
      </c>
      <c r="L38" s="103">
        <v>6000</v>
      </c>
      <c r="M38" s="111">
        <f t="shared" si="0"/>
        <v>60000</v>
      </c>
      <c r="N38" s="103">
        <f t="shared" si="1"/>
        <v>60000</v>
      </c>
      <c r="O38" s="104">
        <f t="shared" si="2"/>
        <v>30000</v>
      </c>
      <c r="P38" s="104">
        <f t="shared" si="3"/>
        <v>24000</v>
      </c>
      <c r="Q38" s="104">
        <f t="shared" si="4"/>
        <v>6000</v>
      </c>
      <c r="R38" s="103"/>
      <c r="S38" s="112">
        <f t="shared" si="5"/>
        <v>60000</v>
      </c>
      <c r="T38" s="103">
        <f>ROUND(IF(J38&gt;15000,(15000/$AA$3*I38)*12%,O38*12%)*1,0)</f>
        <v>1800</v>
      </c>
      <c r="U38" s="113">
        <v>0</v>
      </c>
      <c r="V38" s="116"/>
      <c r="W38" s="111"/>
      <c r="X38" s="104">
        <f t="shared" si="6"/>
        <v>1800</v>
      </c>
      <c r="Y38" s="112">
        <f t="shared" si="7"/>
        <v>58200</v>
      </c>
    </row>
    <row r="39" spans="1:25" ht="18" customHeight="1">
      <c r="A39" s="103" t="e">
        <f t="shared" si="8"/>
        <v>#REF!</v>
      </c>
      <c r="B39" s="104" t="s">
        <v>30</v>
      </c>
      <c r="C39" s="105" t="s">
        <v>30</v>
      </c>
      <c r="D39" s="105"/>
      <c r="E39" s="137" t="s">
        <v>617</v>
      </c>
      <c r="F39" s="138" t="s">
        <v>618</v>
      </c>
      <c r="G39" s="139" t="s">
        <v>619</v>
      </c>
      <c r="H39" s="140" t="s">
        <v>620</v>
      </c>
      <c r="I39" s="141">
        <v>30</v>
      </c>
      <c r="J39" s="103">
        <v>46500</v>
      </c>
      <c r="K39" s="103">
        <v>37200</v>
      </c>
      <c r="L39" s="103">
        <v>9300</v>
      </c>
      <c r="M39" s="111">
        <f t="shared" si="0"/>
        <v>93000</v>
      </c>
      <c r="N39" s="103">
        <f t="shared" si="1"/>
        <v>93000</v>
      </c>
      <c r="O39" s="104">
        <f t="shared" si="2"/>
        <v>46500</v>
      </c>
      <c r="P39" s="104">
        <f t="shared" si="3"/>
        <v>37200</v>
      </c>
      <c r="Q39" s="104">
        <f t="shared" si="4"/>
        <v>9300</v>
      </c>
      <c r="R39" s="103"/>
      <c r="S39" s="112">
        <f t="shared" si="5"/>
        <v>93000</v>
      </c>
      <c r="T39" s="113">
        <v>0</v>
      </c>
      <c r="U39" s="113">
        <v>0</v>
      </c>
      <c r="V39" s="116"/>
      <c r="W39" s="111"/>
      <c r="X39" s="104">
        <f t="shared" si="6"/>
        <v>0</v>
      </c>
      <c r="Y39" s="112">
        <f t="shared" si="7"/>
        <v>93000</v>
      </c>
    </row>
    <row r="40" spans="1:25" ht="18" customHeight="1">
      <c r="A40" s="103" t="e">
        <f t="shared" si="8"/>
        <v>#REF!</v>
      </c>
      <c r="B40" s="104" t="s">
        <v>30</v>
      </c>
      <c r="C40" s="105" t="s">
        <v>30</v>
      </c>
      <c r="D40" s="105"/>
      <c r="E40" s="137" t="s">
        <v>621</v>
      </c>
      <c r="F40" s="138" t="s">
        <v>622</v>
      </c>
      <c r="G40" s="139" t="s">
        <v>623</v>
      </c>
      <c r="H40" s="140" t="s">
        <v>624</v>
      </c>
      <c r="I40" s="141">
        <v>28</v>
      </c>
      <c r="J40" s="103">
        <v>30750</v>
      </c>
      <c r="K40" s="103">
        <v>24600</v>
      </c>
      <c r="L40" s="103">
        <v>6150</v>
      </c>
      <c r="M40" s="111">
        <f t="shared" si="0"/>
        <v>61500</v>
      </c>
      <c r="N40" s="103">
        <f t="shared" si="1"/>
        <v>61500</v>
      </c>
      <c r="O40" s="104">
        <f t="shared" si="2"/>
        <v>28700</v>
      </c>
      <c r="P40" s="104">
        <f t="shared" si="3"/>
        <v>22960</v>
      </c>
      <c r="Q40" s="104">
        <f t="shared" si="4"/>
        <v>5740</v>
      </c>
      <c r="R40" s="103"/>
      <c r="S40" s="112">
        <f t="shared" si="5"/>
        <v>57400</v>
      </c>
      <c r="T40" s="113">
        <v>0</v>
      </c>
      <c r="U40" s="113">
        <v>0</v>
      </c>
      <c r="V40" s="116"/>
      <c r="W40" s="111"/>
      <c r="X40" s="104">
        <f t="shared" si="6"/>
        <v>0</v>
      </c>
      <c r="Y40" s="112">
        <f t="shared" si="7"/>
        <v>57400</v>
      </c>
    </row>
    <row r="41" spans="1:25" ht="18" customHeight="1">
      <c r="A41" s="103" t="e">
        <f t="shared" si="8"/>
        <v>#REF!</v>
      </c>
      <c r="B41" s="104" t="s">
        <v>30</v>
      </c>
      <c r="C41" s="105" t="s">
        <v>30</v>
      </c>
      <c r="D41" s="105"/>
      <c r="E41" s="137" t="s">
        <v>625</v>
      </c>
      <c r="F41" s="138" t="s">
        <v>626</v>
      </c>
      <c r="G41" s="139" t="s">
        <v>627</v>
      </c>
      <c r="H41" s="140" t="s">
        <v>628</v>
      </c>
      <c r="I41" s="141">
        <v>29.5</v>
      </c>
      <c r="J41" s="103">
        <v>31000</v>
      </c>
      <c r="K41" s="103">
        <v>24800</v>
      </c>
      <c r="L41" s="103">
        <v>6200</v>
      </c>
      <c r="M41" s="111">
        <f t="shared" si="0"/>
        <v>62000</v>
      </c>
      <c r="N41" s="103">
        <f t="shared" si="1"/>
        <v>62000</v>
      </c>
      <c r="O41" s="104">
        <f t="shared" si="2"/>
        <v>30483</v>
      </c>
      <c r="P41" s="104">
        <f t="shared" si="3"/>
        <v>24387</v>
      </c>
      <c r="Q41" s="104">
        <f t="shared" si="4"/>
        <v>6097</v>
      </c>
      <c r="R41" s="103"/>
      <c r="S41" s="112">
        <f t="shared" si="5"/>
        <v>60967</v>
      </c>
      <c r="T41" s="113">
        <v>0</v>
      </c>
      <c r="U41" s="113">
        <v>0</v>
      </c>
      <c r="V41" s="116"/>
      <c r="W41" s="111"/>
      <c r="X41" s="104">
        <f t="shared" si="6"/>
        <v>0</v>
      </c>
      <c r="Y41" s="112">
        <f t="shared" si="7"/>
        <v>60967</v>
      </c>
    </row>
    <row r="42" spans="1:25" ht="18" customHeight="1">
      <c r="A42" s="103" t="e">
        <f t="shared" si="8"/>
        <v>#REF!</v>
      </c>
      <c r="B42" s="104" t="s">
        <v>30</v>
      </c>
      <c r="C42" s="105" t="s">
        <v>30</v>
      </c>
      <c r="D42" s="105"/>
      <c r="E42" s="137" t="s">
        <v>629</v>
      </c>
      <c r="F42" s="138" t="s">
        <v>630</v>
      </c>
      <c r="G42" s="139" t="s">
        <v>615</v>
      </c>
      <c r="H42" s="140" t="s">
        <v>631</v>
      </c>
      <c r="I42" s="141">
        <v>30</v>
      </c>
      <c r="J42" s="103">
        <v>30250</v>
      </c>
      <c r="K42" s="103">
        <v>24200</v>
      </c>
      <c r="L42" s="103">
        <v>6050</v>
      </c>
      <c r="M42" s="111">
        <f t="shared" si="0"/>
        <v>60500</v>
      </c>
      <c r="N42" s="103">
        <f t="shared" si="1"/>
        <v>60500</v>
      </c>
      <c r="O42" s="104">
        <f t="shared" si="2"/>
        <v>30250</v>
      </c>
      <c r="P42" s="104">
        <f t="shared" si="3"/>
        <v>24200</v>
      </c>
      <c r="Q42" s="104">
        <f t="shared" si="4"/>
        <v>6050</v>
      </c>
      <c r="R42" s="103"/>
      <c r="S42" s="112">
        <f t="shared" si="5"/>
        <v>60500</v>
      </c>
      <c r="T42" s="113">
        <v>0</v>
      </c>
      <c r="U42" s="113">
        <v>0</v>
      </c>
      <c r="V42" s="116"/>
      <c r="W42" s="111"/>
      <c r="X42" s="104">
        <f t="shared" si="6"/>
        <v>0</v>
      </c>
      <c r="Y42" s="112">
        <f t="shared" si="7"/>
        <v>60500</v>
      </c>
    </row>
    <row r="43" spans="1:25" ht="18" customHeight="1">
      <c r="A43" s="103" t="e">
        <f t="shared" si="8"/>
        <v>#REF!</v>
      </c>
      <c r="B43" s="117">
        <v>101718975064</v>
      </c>
      <c r="C43" s="105" t="s">
        <v>30</v>
      </c>
      <c r="D43" s="105"/>
      <c r="E43" s="124" t="s">
        <v>104</v>
      </c>
      <c r="F43" s="145" t="s">
        <v>105</v>
      </c>
      <c r="G43" s="133" t="s">
        <v>106</v>
      </c>
      <c r="H43" s="109">
        <v>645</v>
      </c>
      <c r="I43" s="122">
        <v>30</v>
      </c>
      <c r="J43" s="103">
        <v>22500</v>
      </c>
      <c r="K43" s="103">
        <v>18000</v>
      </c>
      <c r="L43" s="103">
        <v>4500</v>
      </c>
      <c r="M43" s="111">
        <f t="shared" si="0"/>
        <v>45000</v>
      </c>
      <c r="N43" s="103">
        <f t="shared" si="1"/>
        <v>45000</v>
      </c>
      <c r="O43" s="104">
        <f t="shared" si="2"/>
        <v>22500</v>
      </c>
      <c r="P43" s="104">
        <f t="shared" si="3"/>
        <v>18000</v>
      </c>
      <c r="Q43" s="104">
        <f t="shared" si="4"/>
        <v>4500</v>
      </c>
      <c r="R43" s="103"/>
      <c r="S43" s="112">
        <f t="shared" si="5"/>
        <v>45000</v>
      </c>
      <c r="T43" s="103">
        <f t="shared" ref="T43:T51" si="11">ROUND(IF(J43&gt;15000,(15000/$AA$3*I43)*12%,O43*12%)*1,0)</f>
        <v>1800</v>
      </c>
      <c r="U43" s="113">
        <v>0</v>
      </c>
      <c r="V43" s="116"/>
      <c r="W43" s="111"/>
      <c r="X43" s="104">
        <f t="shared" si="6"/>
        <v>1800</v>
      </c>
      <c r="Y43" s="112">
        <f t="shared" si="7"/>
        <v>43200</v>
      </c>
    </row>
    <row r="44" spans="1:25" ht="18" customHeight="1">
      <c r="A44" s="103" t="e">
        <f t="shared" si="8"/>
        <v>#REF!</v>
      </c>
      <c r="B44" s="117">
        <v>100672922853</v>
      </c>
      <c r="C44" s="105" t="s">
        <v>30</v>
      </c>
      <c r="D44" s="105"/>
      <c r="E44" s="124" t="s">
        <v>107</v>
      </c>
      <c r="F44" s="146" t="s">
        <v>108</v>
      </c>
      <c r="G44" s="133" t="s">
        <v>109</v>
      </c>
      <c r="H44" s="109">
        <v>626</v>
      </c>
      <c r="I44" s="122">
        <v>30</v>
      </c>
      <c r="J44" s="103">
        <v>26500</v>
      </c>
      <c r="K44" s="103">
        <v>21200</v>
      </c>
      <c r="L44" s="103">
        <v>5300</v>
      </c>
      <c r="M44" s="111">
        <f t="shared" si="0"/>
        <v>53000</v>
      </c>
      <c r="N44" s="103">
        <f t="shared" si="1"/>
        <v>53000</v>
      </c>
      <c r="O44" s="104">
        <f t="shared" si="2"/>
        <v>26500</v>
      </c>
      <c r="P44" s="104">
        <f t="shared" si="3"/>
        <v>21200</v>
      </c>
      <c r="Q44" s="104">
        <f t="shared" si="4"/>
        <v>5300</v>
      </c>
      <c r="R44" s="103"/>
      <c r="S44" s="112">
        <f t="shared" si="5"/>
        <v>53000</v>
      </c>
      <c r="T44" s="103">
        <f t="shared" si="11"/>
        <v>1800</v>
      </c>
      <c r="U44" s="113">
        <v>0</v>
      </c>
      <c r="V44" s="116"/>
      <c r="W44" s="111"/>
      <c r="X44" s="104">
        <f t="shared" si="6"/>
        <v>1800</v>
      </c>
      <c r="Y44" s="112">
        <f t="shared" si="7"/>
        <v>51200</v>
      </c>
    </row>
    <row r="45" spans="1:25" ht="18" customHeight="1">
      <c r="A45" s="103" t="e">
        <f t="shared" si="8"/>
        <v>#REF!</v>
      </c>
      <c r="B45" s="117">
        <v>101873522737</v>
      </c>
      <c r="C45" s="105" t="s">
        <v>30</v>
      </c>
      <c r="D45" s="105"/>
      <c r="E45" s="128" t="s">
        <v>110</v>
      </c>
      <c r="F45" s="145" t="s">
        <v>111</v>
      </c>
      <c r="G45" s="147" t="s">
        <v>112</v>
      </c>
      <c r="H45" s="109">
        <v>608</v>
      </c>
      <c r="I45" s="122">
        <v>29.5</v>
      </c>
      <c r="J45" s="103">
        <v>22000</v>
      </c>
      <c r="K45" s="103">
        <v>17600</v>
      </c>
      <c r="L45" s="103">
        <v>4400</v>
      </c>
      <c r="M45" s="111">
        <f t="shared" si="0"/>
        <v>44000</v>
      </c>
      <c r="N45" s="103">
        <f t="shared" si="1"/>
        <v>44000</v>
      </c>
      <c r="O45" s="104">
        <f t="shared" si="2"/>
        <v>21633</v>
      </c>
      <c r="P45" s="104">
        <f t="shared" si="3"/>
        <v>17307</v>
      </c>
      <c r="Q45" s="104">
        <f t="shared" si="4"/>
        <v>4327</v>
      </c>
      <c r="R45" s="103"/>
      <c r="S45" s="112">
        <f t="shared" si="5"/>
        <v>43267</v>
      </c>
      <c r="T45" s="103">
        <f t="shared" si="11"/>
        <v>1770</v>
      </c>
      <c r="U45" s="113">
        <v>0</v>
      </c>
      <c r="V45" s="116"/>
      <c r="W45" s="111"/>
      <c r="X45" s="104">
        <f t="shared" si="6"/>
        <v>1770</v>
      </c>
      <c r="Y45" s="112">
        <f t="shared" si="7"/>
        <v>41497</v>
      </c>
    </row>
    <row r="46" spans="1:25" ht="18" customHeight="1">
      <c r="A46" s="103" t="e">
        <f t="shared" si="8"/>
        <v>#REF!</v>
      </c>
      <c r="B46" s="117">
        <v>101884646872</v>
      </c>
      <c r="C46" s="105" t="s">
        <v>30</v>
      </c>
      <c r="D46" s="105"/>
      <c r="E46" s="124" t="s">
        <v>113</v>
      </c>
      <c r="F46" s="146" t="s">
        <v>114</v>
      </c>
      <c r="G46" s="133" t="s">
        <v>115</v>
      </c>
      <c r="H46" s="109">
        <v>597</v>
      </c>
      <c r="I46" s="122">
        <v>30</v>
      </c>
      <c r="J46" s="103">
        <v>20000</v>
      </c>
      <c r="K46" s="103">
        <v>16000</v>
      </c>
      <c r="L46" s="103">
        <v>4000</v>
      </c>
      <c r="M46" s="111">
        <f t="shared" si="0"/>
        <v>40000</v>
      </c>
      <c r="N46" s="103">
        <f t="shared" si="1"/>
        <v>40000</v>
      </c>
      <c r="O46" s="104">
        <f t="shared" si="2"/>
        <v>20000</v>
      </c>
      <c r="P46" s="104">
        <f t="shared" si="3"/>
        <v>16000</v>
      </c>
      <c r="Q46" s="104">
        <f t="shared" si="4"/>
        <v>4000</v>
      </c>
      <c r="R46" s="103"/>
      <c r="S46" s="112">
        <f t="shared" si="5"/>
        <v>40000</v>
      </c>
      <c r="T46" s="103">
        <f t="shared" si="11"/>
        <v>1800</v>
      </c>
      <c r="U46" s="113">
        <v>0</v>
      </c>
      <c r="V46" s="116"/>
      <c r="W46" s="111"/>
      <c r="X46" s="104">
        <f t="shared" si="6"/>
        <v>1800</v>
      </c>
      <c r="Y46" s="112">
        <f t="shared" si="7"/>
        <v>38200</v>
      </c>
    </row>
    <row r="47" spans="1:25" ht="18" customHeight="1">
      <c r="A47" s="103" t="e">
        <f t="shared" si="8"/>
        <v>#REF!</v>
      </c>
      <c r="B47" s="117">
        <v>101862841566</v>
      </c>
      <c r="C47" s="118" t="s">
        <v>30</v>
      </c>
      <c r="D47" s="118"/>
      <c r="E47" s="124" t="s">
        <v>116</v>
      </c>
      <c r="F47" s="146" t="s">
        <v>117</v>
      </c>
      <c r="G47" s="133" t="s">
        <v>118</v>
      </c>
      <c r="H47" s="109">
        <v>594</v>
      </c>
      <c r="I47" s="122">
        <v>30</v>
      </c>
      <c r="J47" s="103">
        <v>25000</v>
      </c>
      <c r="K47" s="103">
        <v>20000</v>
      </c>
      <c r="L47" s="103">
        <v>5000</v>
      </c>
      <c r="M47" s="111">
        <f t="shared" si="0"/>
        <v>50000</v>
      </c>
      <c r="N47" s="103">
        <f t="shared" si="1"/>
        <v>50000</v>
      </c>
      <c r="O47" s="104">
        <f t="shared" si="2"/>
        <v>25000</v>
      </c>
      <c r="P47" s="104">
        <f t="shared" si="3"/>
        <v>20000</v>
      </c>
      <c r="Q47" s="104">
        <f t="shared" si="4"/>
        <v>5000</v>
      </c>
      <c r="R47" s="103"/>
      <c r="S47" s="112">
        <f t="shared" si="5"/>
        <v>50000</v>
      </c>
      <c r="T47" s="103">
        <f t="shared" si="11"/>
        <v>1800</v>
      </c>
      <c r="U47" s="113">
        <v>0</v>
      </c>
      <c r="V47" s="116"/>
      <c r="W47" s="111"/>
      <c r="X47" s="104">
        <f t="shared" si="6"/>
        <v>1800</v>
      </c>
      <c r="Y47" s="112">
        <f t="shared" si="7"/>
        <v>48200</v>
      </c>
    </row>
    <row r="48" spans="1:25" ht="18" customHeight="1">
      <c r="A48" s="103" t="e">
        <f t="shared" si="8"/>
        <v>#REF!</v>
      </c>
      <c r="B48" s="117">
        <v>101906803290</v>
      </c>
      <c r="C48" s="118" t="s">
        <v>30</v>
      </c>
      <c r="D48" s="118" t="s">
        <v>43</v>
      </c>
      <c r="E48" s="124" t="s">
        <v>119</v>
      </c>
      <c r="F48" s="146" t="s">
        <v>120</v>
      </c>
      <c r="G48" s="133" t="s">
        <v>121</v>
      </c>
      <c r="H48" s="109">
        <v>590</v>
      </c>
      <c r="I48" s="122">
        <v>30</v>
      </c>
      <c r="J48" s="103">
        <v>13580</v>
      </c>
      <c r="K48" s="103">
        <v>10368</v>
      </c>
      <c r="L48" s="103">
        <v>1972</v>
      </c>
      <c r="M48" s="111">
        <f t="shared" si="0"/>
        <v>25920</v>
      </c>
      <c r="N48" s="103">
        <f t="shared" si="1"/>
        <v>25920</v>
      </c>
      <c r="O48" s="104">
        <f t="shared" si="2"/>
        <v>13580</v>
      </c>
      <c r="P48" s="104">
        <f t="shared" si="3"/>
        <v>10368</v>
      </c>
      <c r="Q48" s="104">
        <f t="shared" si="4"/>
        <v>1972</v>
      </c>
      <c r="R48" s="103"/>
      <c r="S48" s="112">
        <f t="shared" si="5"/>
        <v>25920</v>
      </c>
      <c r="T48" s="103">
        <f t="shared" si="11"/>
        <v>1630</v>
      </c>
      <c r="U48" s="113">
        <v>0</v>
      </c>
      <c r="V48" s="116"/>
      <c r="W48" s="111"/>
      <c r="X48" s="104">
        <f t="shared" si="6"/>
        <v>1630</v>
      </c>
      <c r="Y48" s="112">
        <f t="shared" si="7"/>
        <v>24290</v>
      </c>
    </row>
    <row r="49" spans="1:28" ht="18" customHeight="1">
      <c r="A49" s="103" t="e">
        <f t="shared" si="8"/>
        <v>#REF!</v>
      </c>
      <c r="B49" s="117">
        <v>101402796468</v>
      </c>
      <c r="C49" s="118">
        <v>6721780978</v>
      </c>
      <c r="D49" s="118"/>
      <c r="E49" s="124" t="s">
        <v>122</v>
      </c>
      <c r="F49" s="148" t="s">
        <v>123</v>
      </c>
      <c r="G49" s="144" t="s">
        <v>124</v>
      </c>
      <c r="H49" s="109">
        <v>589</v>
      </c>
      <c r="I49" s="122">
        <v>30</v>
      </c>
      <c r="J49" s="103">
        <v>13580</v>
      </c>
      <c r="K49" s="103">
        <v>10000</v>
      </c>
      <c r="L49" s="103">
        <v>1420</v>
      </c>
      <c r="M49" s="111">
        <f t="shared" si="0"/>
        <v>25000</v>
      </c>
      <c r="N49" s="103">
        <f t="shared" si="1"/>
        <v>25000</v>
      </c>
      <c r="O49" s="104">
        <f t="shared" si="2"/>
        <v>13580</v>
      </c>
      <c r="P49" s="104">
        <f t="shared" si="3"/>
        <v>10000</v>
      </c>
      <c r="Q49" s="104">
        <f t="shared" si="4"/>
        <v>1420</v>
      </c>
      <c r="R49" s="103"/>
      <c r="S49" s="112">
        <f t="shared" si="5"/>
        <v>25000</v>
      </c>
      <c r="T49" s="103">
        <f t="shared" si="11"/>
        <v>1630</v>
      </c>
      <c r="U49" s="113">
        <v>0</v>
      </c>
      <c r="V49" s="116"/>
      <c r="W49" s="111"/>
      <c r="X49" s="104">
        <f t="shared" si="6"/>
        <v>1630</v>
      </c>
      <c r="Y49" s="112">
        <f t="shared" si="7"/>
        <v>23370</v>
      </c>
    </row>
    <row r="50" spans="1:28" ht="18" customHeight="1">
      <c r="A50" s="103" t="e">
        <f t="shared" si="8"/>
        <v>#REF!</v>
      </c>
      <c r="B50" s="117">
        <v>101916581759</v>
      </c>
      <c r="C50" s="118" t="s">
        <v>30</v>
      </c>
      <c r="D50" s="118"/>
      <c r="E50" s="149" t="s">
        <v>125</v>
      </c>
      <c r="F50" s="148" t="s">
        <v>126</v>
      </c>
      <c r="G50" s="144" t="s">
        <v>127</v>
      </c>
      <c r="H50" s="109">
        <v>586</v>
      </c>
      <c r="I50" s="122">
        <v>30</v>
      </c>
      <c r="J50" s="103">
        <v>15000</v>
      </c>
      <c r="K50" s="103">
        <v>12000</v>
      </c>
      <c r="L50" s="103">
        <v>3000</v>
      </c>
      <c r="M50" s="111">
        <f t="shared" si="0"/>
        <v>30000</v>
      </c>
      <c r="N50" s="103">
        <f t="shared" si="1"/>
        <v>30000</v>
      </c>
      <c r="O50" s="104">
        <f t="shared" si="2"/>
        <v>15000</v>
      </c>
      <c r="P50" s="104">
        <f t="shared" si="3"/>
        <v>12000</v>
      </c>
      <c r="Q50" s="104">
        <f t="shared" si="4"/>
        <v>3000</v>
      </c>
      <c r="R50" s="103"/>
      <c r="S50" s="112">
        <f t="shared" si="5"/>
        <v>30000</v>
      </c>
      <c r="T50" s="103">
        <f t="shared" si="11"/>
        <v>1800</v>
      </c>
      <c r="U50" s="113">
        <v>0</v>
      </c>
      <c r="V50" s="116"/>
      <c r="W50" s="111"/>
      <c r="X50" s="104">
        <f t="shared" si="6"/>
        <v>1800</v>
      </c>
      <c r="Y50" s="112">
        <f t="shared" si="7"/>
        <v>28200</v>
      </c>
    </row>
    <row r="51" spans="1:28" ht="18" customHeight="1">
      <c r="A51" s="103" t="e">
        <f t="shared" si="8"/>
        <v>#REF!</v>
      </c>
      <c r="B51" s="117">
        <v>101916581744</v>
      </c>
      <c r="C51" s="105" t="s">
        <v>30</v>
      </c>
      <c r="D51" s="105" t="s">
        <v>43</v>
      </c>
      <c r="E51" s="149" t="s">
        <v>128</v>
      </c>
      <c r="F51" s="148" t="s">
        <v>129</v>
      </c>
      <c r="G51" s="144" t="s">
        <v>130</v>
      </c>
      <c r="H51" s="109">
        <v>578</v>
      </c>
      <c r="I51" s="122">
        <v>30</v>
      </c>
      <c r="J51" s="103">
        <v>25000</v>
      </c>
      <c r="K51" s="103">
        <v>20000</v>
      </c>
      <c r="L51" s="103">
        <v>5000</v>
      </c>
      <c r="M51" s="111">
        <f t="shared" si="0"/>
        <v>50000</v>
      </c>
      <c r="N51" s="103">
        <f t="shared" si="1"/>
        <v>50000</v>
      </c>
      <c r="O51" s="104">
        <f t="shared" si="2"/>
        <v>25000</v>
      </c>
      <c r="P51" s="104">
        <f t="shared" si="3"/>
        <v>20000</v>
      </c>
      <c r="Q51" s="104">
        <f t="shared" si="4"/>
        <v>5000</v>
      </c>
      <c r="R51" s="103"/>
      <c r="S51" s="112">
        <f t="shared" si="5"/>
        <v>50000</v>
      </c>
      <c r="T51" s="103">
        <f t="shared" si="11"/>
        <v>1800</v>
      </c>
      <c r="U51" s="113">
        <v>0</v>
      </c>
      <c r="V51" s="116"/>
      <c r="W51" s="111"/>
      <c r="X51" s="104">
        <f t="shared" si="6"/>
        <v>1800</v>
      </c>
      <c r="Y51" s="112">
        <f t="shared" si="7"/>
        <v>48200</v>
      </c>
    </row>
    <row r="52" spans="1:28" ht="18" customHeight="1">
      <c r="A52" s="103" t="e">
        <f t="shared" si="8"/>
        <v>#REF!</v>
      </c>
      <c r="B52" s="104" t="s">
        <v>30</v>
      </c>
      <c r="C52" s="105" t="s">
        <v>30</v>
      </c>
      <c r="D52" s="105"/>
      <c r="E52" s="150" t="s">
        <v>632</v>
      </c>
      <c r="F52" s="151" t="s">
        <v>633</v>
      </c>
      <c r="G52" s="139" t="s">
        <v>634</v>
      </c>
      <c r="H52" s="140" t="s">
        <v>635</v>
      </c>
      <c r="I52" s="141">
        <v>30</v>
      </c>
      <c r="J52" s="103">
        <v>29000</v>
      </c>
      <c r="K52" s="103">
        <v>23200</v>
      </c>
      <c r="L52" s="103">
        <v>5800</v>
      </c>
      <c r="M52" s="111">
        <f t="shared" si="0"/>
        <v>58000</v>
      </c>
      <c r="N52" s="103">
        <f t="shared" si="1"/>
        <v>58000</v>
      </c>
      <c r="O52" s="104">
        <f t="shared" si="2"/>
        <v>29000</v>
      </c>
      <c r="P52" s="104">
        <f t="shared" si="3"/>
        <v>23200</v>
      </c>
      <c r="Q52" s="104">
        <f t="shared" si="4"/>
        <v>5800</v>
      </c>
      <c r="R52" s="103"/>
      <c r="S52" s="112">
        <f t="shared" si="5"/>
        <v>58000</v>
      </c>
      <c r="T52" s="113">
        <v>0</v>
      </c>
      <c r="U52" s="113">
        <v>0</v>
      </c>
      <c r="V52" s="116"/>
      <c r="W52" s="111"/>
      <c r="X52" s="104">
        <f t="shared" si="6"/>
        <v>0</v>
      </c>
      <c r="Y52" s="112">
        <f t="shared" si="7"/>
        <v>58000</v>
      </c>
    </row>
    <row r="53" spans="1:28" ht="18" customHeight="1">
      <c r="A53" s="103" t="e">
        <f t="shared" si="8"/>
        <v>#REF!</v>
      </c>
      <c r="B53" s="104" t="s">
        <v>30</v>
      </c>
      <c r="C53" s="105" t="s">
        <v>30</v>
      </c>
      <c r="D53" s="105"/>
      <c r="E53" s="150" t="s">
        <v>636</v>
      </c>
      <c r="F53" s="151" t="s">
        <v>637</v>
      </c>
      <c r="G53" s="139" t="s">
        <v>638</v>
      </c>
      <c r="H53" s="140" t="s">
        <v>639</v>
      </c>
      <c r="I53" s="141">
        <v>26.5</v>
      </c>
      <c r="J53" s="103">
        <v>30000</v>
      </c>
      <c r="K53" s="103">
        <v>24000</v>
      </c>
      <c r="L53" s="103">
        <v>6000</v>
      </c>
      <c r="M53" s="111">
        <f t="shared" si="0"/>
        <v>60000</v>
      </c>
      <c r="N53" s="103">
        <f t="shared" si="1"/>
        <v>60000</v>
      </c>
      <c r="O53" s="104">
        <f t="shared" si="2"/>
        <v>26500</v>
      </c>
      <c r="P53" s="104">
        <f t="shared" si="3"/>
        <v>21200</v>
      </c>
      <c r="Q53" s="104">
        <f t="shared" si="4"/>
        <v>5300</v>
      </c>
      <c r="R53" s="103"/>
      <c r="S53" s="112">
        <f t="shared" si="5"/>
        <v>53000</v>
      </c>
      <c r="T53" s="113">
        <v>0</v>
      </c>
      <c r="U53" s="113">
        <v>0</v>
      </c>
      <c r="V53" s="116"/>
      <c r="W53" s="111"/>
      <c r="X53" s="104">
        <f t="shared" si="6"/>
        <v>0</v>
      </c>
      <c r="Y53" s="112">
        <f t="shared" si="7"/>
        <v>53000</v>
      </c>
    </row>
    <row r="54" spans="1:28" ht="18" customHeight="1">
      <c r="A54" s="103" t="e">
        <f t="shared" si="8"/>
        <v>#REF!</v>
      </c>
      <c r="B54" s="117">
        <v>101925953930</v>
      </c>
      <c r="C54" s="118" t="s">
        <v>30</v>
      </c>
      <c r="D54" s="118" t="s">
        <v>43</v>
      </c>
      <c r="E54" s="152" t="s">
        <v>131</v>
      </c>
      <c r="F54" s="148" t="s">
        <v>132</v>
      </c>
      <c r="G54" s="144" t="s">
        <v>133</v>
      </c>
      <c r="H54" s="109">
        <v>570</v>
      </c>
      <c r="I54" s="122">
        <v>30</v>
      </c>
      <c r="J54" s="103">
        <v>13580</v>
      </c>
      <c r="K54" s="103">
        <v>9600</v>
      </c>
      <c r="L54" s="103">
        <v>820</v>
      </c>
      <c r="M54" s="111">
        <f t="shared" si="0"/>
        <v>24000</v>
      </c>
      <c r="N54" s="103">
        <f t="shared" si="1"/>
        <v>24000</v>
      </c>
      <c r="O54" s="104">
        <f t="shared" si="2"/>
        <v>13580</v>
      </c>
      <c r="P54" s="104">
        <f t="shared" si="3"/>
        <v>9600</v>
      </c>
      <c r="Q54" s="104">
        <f t="shared" si="4"/>
        <v>820</v>
      </c>
      <c r="R54" s="103"/>
      <c r="S54" s="112">
        <f t="shared" si="5"/>
        <v>24000</v>
      </c>
      <c r="T54" s="103">
        <f t="shared" ref="T54:T65" si="12">ROUND(IF(J54&gt;15000,(15000/$AA$3*I54)*12%,O54*12%)*1,0)</f>
        <v>1630</v>
      </c>
      <c r="U54" s="113">
        <v>0</v>
      </c>
      <c r="V54" s="116"/>
      <c r="W54" s="111"/>
      <c r="X54" s="104">
        <f t="shared" si="6"/>
        <v>1630</v>
      </c>
      <c r="Y54" s="112">
        <f t="shared" si="7"/>
        <v>22370</v>
      </c>
    </row>
    <row r="55" spans="1:28" ht="18" customHeight="1">
      <c r="A55" s="103" t="e">
        <f t="shared" si="8"/>
        <v>#REF!</v>
      </c>
      <c r="B55" s="117">
        <v>101926085236</v>
      </c>
      <c r="C55" s="118">
        <v>6721973793</v>
      </c>
      <c r="D55" s="118" t="s">
        <v>43</v>
      </c>
      <c r="E55" s="149" t="s">
        <v>134</v>
      </c>
      <c r="F55" s="148" t="s">
        <v>135</v>
      </c>
      <c r="G55" s="144" t="s">
        <v>136</v>
      </c>
      <c r="H55" s="109">
        <v>566</v>
      </c>
      <c r="I55" s="122">
        <v>30</v>
      </c>
      <c r="J55" s="103">
        <v>13580</v>
      </c>
      <c r="K55" s="103">
        <v>9216</v>
      </c>
      <c r="L55" s="103">
        <v>244</v>
      </c>
      <c r="M55" s="111">
        <f t="shared" si="0"/>
        <v>23040</v>
      </c>
      <c r="N55" s="103">
        <f t="shared" si="1"/>
        <v>23040</v>
      </c>
      <c r="O55" s="104">
        <f t="shared" si="2"/>
        <v>13580</v>
      </c>
      <c r="P55" s="104">
        <f t="shared" si="3"/>
        <v>9216</v>
      </c>
      <c r="Q55" s="104">
        <f t="shared" si="4"/>
        <v>244</v>
      </c>
      <c r="R55" s="103"/>
      <c r="S55" s="112">
        <f t="shared" si="5"/>
        <v>23040</v>
      </c>
      <c r="T55" s="103">
        <f t="shared" si="12"/>
        <v>1630</v>
      </c>
      <c r="U55" s="113">
        <v>0</v>
      </c>
      <c r="V55" s="116"/>
      <c r="W55" s="111"/>
      <c r="X55" s="104">
        <f t="shared" si="6"/>
        <v>1630</v>
      </c>
      <c r="Y55" s="112">
        <f t="shared" si="7"/>
        <v>21410</v>
      </c>
    </row>
    <row r="56" spans="1:28" ht="18" customHeight="1">
      <c r="A56" s="103" t="e">
        <f t="shared" si="8"/>
        <v>#REF!</v>
      </c>
      <c r="B56" s="117">
        <v>101945834671</v>
      </c>
      <c r="C56" s="118" t="s">
        <v>30</v>
      </c>
      <c r="D56" s="118"/>
      <c r="E56" s="153" t="s">
        <v>137</v>
      </c>
      <c r="F56" s="148" t="s">
        <v>138</v>
      </c>
      <c r="G56" s="144" t="s">
        <v>139</v>
      </c>
      <c r="H56" s="109">
        <v>557</v>
      </c>
      <c r="I56" s="122">
        <v>30</v>
      </c>
      <c r="J56" s="103">
        <v>23500</v>
      </c>
      <c r="K56" s="103">
        <v>18800</v>
      </c>
      <c r="L56" s="103">
        <v>4700</v>
      </c>
      <c r="M56" s="111">
        <f t="shared" si="0"/>
        <v>47000</v>
      </c>
      <c r="N56" s="103">
        <f t="shared" si="1"/>
        <v>47000</v>
      </c>
      <c r="O56" s="104">
        <f t="shared" si="2"/>
        <v>23500</v>
      </c>
      <c r="P56" s="104">
        <f t="shared" si="3"/>
        <v>18800</v>
      </c>
      <c r="Q56" s="104">
        <f t="shared" si="4"/>
        <v>4700</v>
      </c>
      <c r="R56" s="103"/>
      <c r="S56" s="112">
        <f t="shared" si="5"/>
        <v>47000</v>
      </c>
      <c r="T56" s="103">
        <f t="shared" si="12"/>
        <v>1800</v>
      </c>
      <c r="U56" s="113">
        <v>0</v>
      </c>
      <c r="V56" s="116"/>
      <c r="W56" s="111"/>
      <c r="X56" s="104">
        <f t="shared" si="6"/>
        <v>1800</v>
      </c>
      <c r="Y56" s="112">
        <f t="shared" si="7"/>
        <v>45200</v>
      </c>
    </row>
    <row r="57" spans="1:28" ht="18" customHeight="1">
      <c r="A57" s="103" t="e">
        <f t="shared" si="8"/>
        <v>#REF!</v>
      </c>
      <c r="B57" s="117">
        <v>101945834663</v>
      </c>
      <c r="C57" s="105" t="s">
        <v>30</v>
      </c>
      <c r="D57" s="105"/>
      <c r="E57" s="153" t="s">
        <v>140</v>
      </c>
      <c r="F57" s="148" t="s">
        <v>141</v>
      </c>
      <c r="G57" s="144" t="s">
        <v>142</v>
      </c>
      <c r="H57" s="109">
        <v>556</v>
      </c>
      <c r="I57" s="122">
        <v>29.5</v>
      </c>
      <c r="J57" s="103">
        <v>21000</v>
      </c>
      <c r="K57" s="103">
        <v>16800</v>
      </c>
      <c r="L57" s="103">
        <v>4200</v>
      </c>
      <c r="M57" s="111">
        <f t="shared" si="0"/>
        <v>42000</v>
      </c>
      <c r="N57" s="103">
        <f t="shared" si="1"/>
        <v>42000</v>
      </c>
      <c r="O57" s="104">
        <f t="shared" si="2"/>
        <v>20650</v>
      </c>
      <c r="P57" s="104">
        <f t="shared" si="3"/>
        <v>16520</v>
      </c>
      <c r="Q57" s="104">
        <f t="shared" si="4"/>
        <v>4130</v>
      </c>
      <c r="R57" s="103"/>
      <c r="S57" s="112">
        <f t="shared" si="5"/>
        <v>41300</v>
      </c>
      <c r="T57" s="103">
        <f t="shared" si="12"/>
        <v>1770</v>
      </c>
      <c r="U57" s="113">
        <v>0</v>
      </c>
      <c r="V57" s="116"/>
      <c r="W57" s="111"/>
      <c r="X57" s="104">
        <f t="shared" si="6"/>
        <v>1770</v>
      </c>
      <c r="Y57" s="112">
        <f t="shared" si="7"/>
        <v>39530</v>
      </c>
    </row>
    <row r="58" spans="1:28" ht="18" customHeight="1">
      <c r="A58" s="103" t="e">
        <f t="shared" si="8"/>
        <v>#REF!</v>
      </c>
      <c r="B58" s="154">
        <v>101319485302</v>
      </c>
      <c r="C58" s="105" t="s">
        <v>30</v>
      </c>
      <c r="D58" s="155"/>
      <c r="E58" s="156" t="s">
        <v>143</v>
      </c>
      <c r="F58" s="157" t="s">
        <v>144</v>
      </c>
      <c r="G58" s="158" t="s">
        <v>145</v>
      </c>
      <c r="H58" s="109">
        <v>501</v>
      </c>
      <c r="I58" s="122">
        <v>30</v>
      </c>
      <c r="J58" s="159">
        <v>17500</v>
      </c>
      <c r="K58" s="159">
        <v>14000</v>
      </c>
      <c r="L58" s="159">
        <v>3500</v>
      </c>
      <c r="M58" s="111">
        <f t="shared" si="0"/>
        <v>35000</v>
      </c>
      <c r="N58" s="103">
        <f t="shared" si="1"/>
        <v>35000</v>
      </c>
      <c r="O58" s="104">
        <f t="shared" si="2"/>
        <v>17500</v>
      </c>
      <c r="P58" s="104">
        <f t="shared" si="3"/>
        <v>14000</v>
      </c>
      <c r="Q58" s="104">
        <f t="shared" si="4"/>
        <v>3500</v>
      </c>
      <c r="R58" s="103"/>
      <c r="S58" s="112">
        <f t="shared" si="5"/>
        <v>35000</v>
      </c>
      <c r="T58" s="103">
        <f t="shared" si="12"/>
        <v>1800</v>
      </c>
      <c r="U58" s="113">
        <v>0</v>
      </c>
      <c r="V58" s="116"/>
      <c r="W58" s="111"/>
      <c r="X58" s="104">
        <f t="shared" si="6"/>
        <v>1800</v>
      </c>
      <c r="Y58" s="112">
        <f t="shared" si="7"/>
        <v>33200</v>
      </c>
    </row>
    <row r="59" spans="1:28" ht="18" customHeight="1">
      <c r="A59" s="103" t="e">
        <f t="shared" si="8"/>
        <v>#REF!</v>
      </c>
      <c r="B59" s="104">
        <v>101278039699</v>
      </c>
      <c r="C59" s="105" t="s">
        <v>30</v>
      </c>
      <c r="D59" s="155"/>
      <c r="E59" s="156" t="s">
        <v>146</v>
      </c>
      <c r="F59" s="157" t="s">
        <v>147</v>
      </c>
      <c r="G59" s="158" t="s">
        <v>148</v>
      </c>
      <c r="H59" s="109">
        <v>492</v>
      </c>
      <c r="I59" s="122">
        <v>30</v>
      </c>
      <c r="J59" s="159">
        <v>35000</v>
      </c>
      <c r="K59" s="159">
        <v>28000</v>
      </c>
      <c r="L59" s="159">
        <v>7000</v>
      </c>
      <c r="M59" s="111">
        <f t="shared" si="0"/>
        <v>70000</v>
      </c>
      <c r="N59" s="103">
        <f t="shared" si="1"/>
        <v>70000</v>
      </c>
      <c r="O59" s="104">
        <f t="shared" si="2"/>
        <v>35000</v>
      </c>
      <c r="P59" s="104">
        <f t="shared" si="3"/>
        <v>28000</v>
      </c>
      <c r="Q59" s="104">
        <f t="shared" si="4"/>
        <v>7000</v>
      </c>
      <c r="R59" s="103"/>
      <c r="S59" s="112">
        <f t="shared" si="5"/>
        <v>70000</v>
      </c>
      <c r="T59" s="103">
        <f t="shared" si="12"/>
        <v>1800</v>
      </c>
      <c r="U59" s="113">
        <v>0</v>
      </c>
      <c r="V59" s="116"/>
      <c r="W59" s="111"/>
      <c r="X59" s="104">
        <f t="shared" si="6"/>
        <v>1800</v>
      </c>
      <c r="Y59" s="112">
        <f t="shared" si="7"/>
        <v>68200</v>
      </c>
      <c r="AB59" s="160"/>
    </row>
    <row r="60" spans="1:28" ht="18" customHeight="1">
      <c r="A60" s="103" t="e">
        <f t="shared" si="8"/>
        <v>#REF!</v>
      </c>
      <c r="B60" s="154">
        <v>101814580069</v>
      </c>
      <c r="C60" s="161">
        <v>6722884490</v>
      </c>
      <c r="D60" s="161"/>
      <c r="E60" s="156" t="s">
        <v>149</v>
      </c>
      <c r="F60" s="157" t="s">
        <v>150</v>
      </c>
      <c r="G60" s="158" t="s">
        <v>151</v>
      </c>
      <c r="H60" s="109">
        <v>489</v>
      </c>
      <c r="I60" s="122">
        <v>30</v>
      </c>
      <c r="J60" s="103">
        <v>15000</v>
      </c>
      <c r="K60" s="103">
        <v>12000</v>
      </c>
      <c r="L60" s="103">
        <v>3000</v>
      </c>
      <c r="M60" s="111">
        <f t="shared" si="0"/>
        <v>30000</v>
      </c>
      <c r="N60" s="103">
        <f t="shared" si="1"/>
        <v>30000</v>
      </c>
      <c r="O60" s="104">
        <f t="shared" si="2"/>
        <v>15000</v>
      </c>
      <c r="P60" s="104">
        <f t="shared" si="3"/>
        <v>12000</v>
      </c>
      <c r="Q60" s="104">
        <f t="shared" si="4"/>
        <v>3000</v>
      </c>
      <c r="R60" s="103"/>
      <c r="S60" s="112">
        <f t="shared" si="5"/>
        <v>30000</v>
      </c>
      <c r="T60" s="103">
        <f t="shared" si="12"/>
        <v>1800</v>
      </c>
      <c r="U60" s="113">
        <v>0</v>
      </c>
      <c r="V60" s="116"/>
      <c r="W60" s="111"/>
      <c r="X60" s="104">
        <f t="shared" si="6"/>
        <v>1800</v>
      </c>
      <c r="Y60" s="112">
        <f t="shared" si="7"/>
        <v>28200</v>
      </c>
    </row>
    <row r="61" spans="1:28" ht="18" customHeight="1">
      <c r="A61" s="103" t="e">
        <f t="shared" si="8"/>
        <v>#REF!</v>
      </c>
      <c r="B61" s="154">
        <v>102012294186</v>
      </c>
      <c r="C61" s="161">
        <v>6722885599</v>
      </c>
      <c r="D61" s="161"/>
      <c r="E61" s="156" t="s">
        <v>152</v>
      </c>
      <c r="F61" s="157" t="s">
        <v>153</v>
      </c>
      <c r="G61" s="158" t="s">
        <v>154</v>
      </c>
      <c r="H61" s="109">
        <v>487</v>
      </c>
      <c r="I61" s="122">
        <v>30</v>
      </c>
      <c r="J61" s="103">
        <v>15000</v>
      </c>
      <c r="K61" s="103">
        <v>12000</v>
      </c>
      <c r="L61" s="103">
        <v>3000</v>
      </c>
      <c r="M61" s="111">
        <f t="shared" si="0"/>
        <v>30000</v>
      </c>
      <c r="N61" s="103">
        <f t="shared" si="1"/>
        <v>30000</v>
      </c>
      <c r="O61" s="104">
        <f t="shared" si="2"/>
        <v>15000</v>
      </c>
      <c r="P61" s="104">
        <f t="shared" si="3"/>
        <v>12000</v>
      </c>
      <c r="Q61" s="104">
        <f t="shared" si="4"/>
        <v>3000</v>
      </c>
      <c r="R61" s="103"/>
      <c r="S61" s="112">
        <f t="shared" si="5"/>
        <v>30000</v>
      </c>
      <c r="T61" s="103">
        <f t="shared" si="12"/>
        <v>1800</v>
      </c>
      <c r="U61" s="113">
        <v>0</v>
      </c>
      <c r="V61" s="116"/>
      <c r="W61" s="111"/>
      <c r="X61" s="104">
        <f t="shared" si="6"/>
        <v>1800</v>
      </c>
      <c r="Y61" s="112">
        <f t="shared" si="7"/>
        <v>28200</v>
      </c>
    </row>
    <row r="62" spans="1:28" ht="18" customHeight="1">
      <c r="A62" s="103" t="e">
        <f t="shared" si="8"/>
        <v>#REF!</v>
      </c>
      <c r="B62" s="154">
        <v>102030195818</v>
      </c>
      <c r="C62" s="161" t="s">
        <v>30</v>
      </c>
      <c r="D62" s="161"/>
      <c r="E62" s="156" t="s">
        <v>155</v>
      </c>
      <c r="F62" s="157" t="s">
        <v>156</v>
      </c>
      <c r="G62" s="158" t="s">
        <v>157</v>
      </c>
      <c r="H62" s="109">
        <v>483</v>
      </c>
      <c r="I62" s="122">
        <v>30</v>
      </c>
      <c r="J62" s="103">
        <v>25000</v>
      </c>
      <c r="K62" s="103">
        <v>20000</v>
      </c>
      <c r="L62" s="103">
        <v>5000</v>
      </c>
      <c r="M62" s="111">
        <f t="shared" si="0"/>
        <v>50000</v>
      </c>
      <c r="N62" s="103">
        <f t="shared" si="1"/>
        <v>50000</v>
      </c>
      <c r="O62" s="104">
        <f t="shared" si="2"/>
        <v>25000</v>
      </c>
      <c r="P62" s="104">
        <f t="shared" si="3"/>
        <v>20000</v>
      </c>
      <c r="Q62" s="104">
        <f t="shared" si="4"/>
        <v>5000</v>
      </c>
      <c r="R62" s="103"/>
      <c r="S62" s="112">
        <f t="shared" si="5"/>
        <v>50000</v>
      </c>
      <c r="T62" s="103">
        <f t="shared" si="12"/>
        <v>1800</v>
      </c>
      <c r="U62" s="113">
        <v>0</v>
      </c>
      <c r="V62" s="116"/>
      <c r="W62" s="111"/>
      <c r="X62" s="104">
        <f t="shared" si="6"/>
        <v>1800</v>
      </c>
      <c r="Y62" s="112">
        <f t="shared" si="7"/>
        <v>48200</v>
      </c>
    </row>
    <row r="63" spans="1:28" ht="18" customHeight="1">
      <c r="A63" s="103" t="e">
        <f t="shared" si="8"/>
        <v>#REF!</v>
      </c>
      <c r="B63" s="154">
        <v>101916791881</v>
      </c>
      <c r="C63" s="161" t="s">
        <v>30</v>
      </c>
      <c r="D63" s="161"/>
      <c r="E63" s="156" t="s">
        <v>158</v>
      </c>
      <c r="F63" s="157" t="s">
        <v>159</v>
      </c>
      <c r="G63" s="158" t="s">
        <v>160</v>
      </c>
      <c r="H63" s="109">
        <v>757</v>
      </c>
      <c r="I63" s="122">
        <v>30</v>
      </c>
      <c r="J63" s="103">
        <v>42500</v>
      </c>
      <c r="K63" s="103">
        <v>34000</v>
      </c>
      <c r="L63" s="103">
        <v>8500</v>
      </c>
      <c r="M63" s="111">
        <f t="shared" si="0"/>
        <v>85000</v>
      </c>
      <c r="N63" s="103">
        <f t="shared" si="1"/>
        <v>85000</v>
      </c>
      <c r="O63" s="104">
        <f t="shared" si="2"/>
        <v>42500</v>
      </c>
      <c r="P63" s="104">
        <f t="shared" si="3"/>
        <v>34000</v>
      </c>
      <c r="Q63" s="104">
        <f t="shared" si="4"/>
        <v>8500</v>
      </c>
      <c r="R63" s="103"/>
      <c r="S63" s="112">
        <f t="shared" si="5"/>
        <v>85000</v>
      </c>
      <c r="T63" s="103">
        <f t="shared" si="12"/>
        <v>1800</v>
      </c>
      <c r="U63" s="113">
        <v>0</v>
      </c>
      <c r="V63" s="116"/>
      <c r="W63" s="111"/>
      <c r="X63" s="104">
        <f t="shared" si="6"/>
        <v>1800</v>
      </c>
      <c r="Y63" s="112">
        <f t="shared" si="7"/>
        <v>83200</v>
      </c>
    </row>
    <row r="64" spans="1:28" ht="18" customHeight="1">
      <c r="A64" s="103" t="e">
        <f t="shared" si="8"/>
        <v>#REF!</v>
      </c>
      <c r="B64" s="154">
        <v>102038815575</v>
      </c>
      <c r="C64" s="161">
        <v>6723082722</v>
      </c>
      <c r="D64" s="161" t="s">
        <v>43</v>
      </c>
      <c r="E64" s="156" t="s">
        <v>161</v>
      </c>
      <c r="F64" s="157" t="s">
        <v>162</v>
      </c>
      <c r="G64" s="158" t="s">
        <v>163</v>
      </c>
      <c r="H64" s="109">
        <v>460</v>
      </c>
      <c r="I64" s="122">
        <v>29.5</v>
      </c>
      <c r="J64" s="103">
        <v>13580</v>
      </c>
      <c r="K64" s="103">
        <v>8020</v>
      </c>
      <c r="L64" s="103">
        <v>0</v>
      </c>
      <c r="M64" s="111">
        <f t="shared" si="0"/>
        <v>21600</v>
      </c>
      <c r="N64" s="103">
        <f t="shared" si="1"/>
        <v>21600</v>
      </c>
      <c r="O64" s="104">
        <f t="shared" si="2"/>
        <v>13354</v>
      </c>
      <c r="P64" s="104">
        <f t="shared" si="3"/>
        <v>7886</v>
      </c>
      <c r="Q64" s="104">
        <f t="shared" si="4"/>
        <v>0</v>
      </c>
      <c r="R64" s="103"/>
      <c r="S64" s="112">
        <f t="shared" si="5"/>
        <v>21240</v>
      </c>
      <c r="T64" s="103">
        <f t="shared" si="12"/>
        <v>1602</v>
      </c>
      <c r="U64" s="113">
        <v>0</v>
      </c>
      <c r="V64" s="162">
        <v>5000</v>
      </c>
      <c r="W64" s="111"/>
      <c r="X64" s="104">
        <f t="shared" si="6"/>
        <v>6602</v>
      </c>
      <c r="Y64" s="112">
        <f t="shared" si="7"/>
        <v>14638</v>
      </c>
    </row>
    <row r="65" spans="1:25" ht="18" customHeight="1">
      <c r="A65" s="103" t="e">
        <f t="shared" si="8"/>
        <v>#REF!</v>
      </c>
      <c r="B65" s="154">
        <v>102050502778</v>
      </c>
      <c r="C65" s="161">
        <v>6723159923</v>
      </c>
      <c r="D65" s="161" t="s">
        <v>43</v>
      </c>
      <c r="E65" s="156" t="s">
        <v>50</v>
      </c>
      <c r="F65" s="157" t="s">
        <v>164</v>
      </c>
      <c r="G65" s="158" t="s">
        <v>165</v>
      </c>
      <c r="H65" s="109">
        <v>450</v>
      </c>
      <c r="I65" s="122">
        <v>30</v>
      </c>
      <c r="J65" s="103">
        <v>13580</v>
      </c>
      <c r="K65" s="103">
        <v>10000</v>
      </c>
      <c r="L65" s="103">
        <v>1420</v>
      </c>
      <c r="M65" s="111">
        <f t="shared" si="0"/>
        <v>25000</v>
      </c>
      <c r="N65" s="103">
        <f t="shared" si="1"/>
        <v>25000</v>
      </c>
      <c r="O65" s="104">
        <f t="shared" si="2"/>
        <v>13580</v>
      </c>
      <c r="P65" s="104">
        <f t="shared" si="3"/>
        <v>10000</v>
      </c>
      <c r="Q65" s="104">
        <f t="shared" si="4"/>
        <v>1420</v>
      </c>
      <c r="R65" s="103"/>
      <c r="S65" s="112">
        <f t="shared" si="5"/>
        <v>25000</v>
      </c>
      <c r="T65" s="103">
        <f t="shared" si="12"/>
        <v>1630</v>
      </c>
      <c r="U65" s="113">
        <v>0</v>
      </c>
      <c r="V65" s="116"/>
      <c r="W65" s="111"/>
      <c r="X65" s="104">
        <f t="shared" si="6"/>
        <v>1630</v>
      </c>
      <c r="Y65" s="112">
        <f t="shared" si="7"/>
        <v>23370</v>
      </c>
    </row>
    <row r="66" spans="1:25" ht="18" customHeight="1">
      <c r="A66" s="103" t="e">
        <f t="shared" si="8"/>
        <v>#REF!</v>
      </c>
      <c r="B66" s="163" t="s">
        <v>30</v>
      </c>
      <c r="C66" s="161" t="s">
        <v>30</v>
      </c>
      <c r="D66" s="161"/>
      <c r="E66" s="164" t="s">
        <v>640</v>
      </c>
      <c r="F66" s="165" t="s">
        <v>641</v>
      </c>
      <c r="G66" s="166"/>
      <c r="H66" s="140" t="s">
        <v>642</v>
      </c>
      <c r="I66" s="110">
        <v>27</v>
      </c>
      <c r="J66" s="103">
        <v>30000</v>
      </c>
      <c r="K66" s="103">
        <v>24000</v>
      </c>
      <c r="L66" s="103">
        <v>6000</v>
      </c>
      <c r="M66" s="111">
        <f t="shared" si="0"/>
        <v>60000</v>
      </c>
      <c r="N66" s="103">
        <f t="shared" si="1"/>
        <v>60000</v>
      </c>
      <c r="O66" s="104">
        <f t="shared" si="2"/>
        <v>27000</v>
      </c>
      <c r="P66" s="104">
        <f t="shared" si="3"/>
        <v>21600</v>
      </c>
      <c r="Q66" s="104">
        <f t="shared" si="4"/>
        <v>5400</v>
      </c>
      <c r="R66" s="103"/>
      <c r="S66" s="112">
        <f t="shared" si="5"/>
        <v>54000</v>
      </c>
      <c r="T66" s="113">
        <v>0</v>
      </c>
      <c r="U66" s="113">
        <v>0</v>
      </c>
      <c r="V66" s="116"/>
      <c r="W66" s="111"/>
      <c r="X66" s="104">
        <f t="shared" si="6"/>
        <v>0</v>
      </c>
      <c r="Y66" s="112">
        <f t="shared" si="7"/>
        <v>54000</v>
      </c>
    </row>
    <row r="67" spans="1:25" ht="18" customHeight="1">
      <c r="A67" s="103" t="e">
        <f t="shared" si="8"/>
        <v>#REF!</v>
      </c>
      <c r="B67" s="154">
        <v>101604389617</v>
      </c>
      <c r="C67" s="161" t="s">
        <v>30</v>
      </c>
      <c r="D67" s="161"/>
      <c r="E67" s="156" t="s">
        <v>166</v>
      </c>
      <c r="F67" s="167" t="s">
        <v>167</v>
      </c>
      <c r="G67" s="158" t="s">
        <v>168</v>
      </c>
      <c r="H67" s="109">
        <v>413</v>
      </c>
      <c r="I67" s="122">
        <v>30</v>
      </c>
      <c r="J67" s="103">
        <v>29250</v>
      </c>
      <c r="K67" s="103">
        <v>23400</v>
      </c>
      <c r="L67" s="103">
        <v>5850</v>
      </c>
      <c r="M67" s="111">
        <f t="shared" si="0"/>
        <v>58500</v>
      </c>
      <c r="N67" s="103">
        <f t="shared" si="1"/>
        <v>58500</v>
      </c>
      <c r="O67" s="104">
        <f t="shared" si="2"/>
        <v>29250</v>
      </c>
      <c r="P67" s="104">
        <f t="shared" si="3"/>
        <v>23400</v>
      </c>
      <c r="Q67" s="104">
        <f t="shared" si="4"/>
        <v>5850</v>
      </c>
      <c r="R67" s="103"/>
      <c r="S67" s="112">
        <f t="shared" si="5"/>
        <v>58500</v>
      </c>
      <c r="T67" s="103">
        <f>ROUND(IF(J67&gt;15000,(15000/$AA$3*I67)*12%,O67*12%)*1,0)</f>
        <v>1800</v>
      </c>
      <c r="U67" s="113">
        <v>0</v>
      </c>
      <c r="V67" s="116"/>
      <c r="W67" s="111"/>
      <c r="X67" s="104">
        <f t="shared" si="6"/>
        <v>1800</v>
      </c>
      <c r="Y67" s="112">
        <f t="shared" si="7"/>
        <v>56700</v>
      </c>
    </row>
    <row r="68" spans="1:25" ht="18" customHeight="1">
      <c r="A68" s="103" t="e">
        <f t="shared" si="8"/>
        <v>#REF!</v>
      </c>
      <c r="B68" s="154">
        <v>101704936804</v>
      </c>
      <c r="C68" s="161" t="s">
        <v>30</v>
      </c>
      <c r="D68" s="161"/>
      <c r="E68" s="156" t="s">
        <v>169</v>
      </c>
      <c r="F68" s="167" t="s">
        <v>170</v>
      </c>
      <c r="G68" s="158" t="s">
        <v>171</v>
      </c>
      <c r="H68" s="109">
        <v>415</v>
      </c>
      <c r="I68" s="122">
        <v>28.5</v>
      </c>
      <c r="J68" s="103">
        <v>20000</v>
      </c>
      <c r="K68" s="103">
        <v>16000</v>
      </c>
      <c r="L68" s="103">
        <v>4000</v>
      </c>
      <c r="M68" s="111">
        <f t="shared" si="0"/>
        <v>40000</v>
      </c>
      <c r="N68" s="103">
        <f t="shared" si="1"/>
        <v>40000</v>
      </c>
      <c r="O68" s="104">
        <f t="shared" si="2"/>
        <v>19000</v>
      </c>
      <c r="P68" s="104">
        <f t="shared" si="3"/>
        <v>15200</v>
      </c>
      <c r="Q68" s="104">
        <f t="shared" si="4"/>
        <v>3800</v>
      </c>
      <c r="R68" s="103"/>
      <c r="S68" s="112">
        <f t="shared" si="5"/>
        <v>38000</v>
      </c>
      <c r="T68" s="103">
        <f>ROUND(IF(J68&gt;15000,(15000/$AA$3*I68)*12%,O68*12%)*1,0)</f>
        <v>1710</v>
      </c>
      <c r="U68" s="113">
        <v>0</v>
      </c>
      <c r="V68" s="116"/>
      <c r="W68" s="111"/>
      <c r="X68" s="104">
        <f t="shared" si="6"/>
        <v>1710</v>
      </c>
      <c r="Y68" s="112">
        <f t="shared" si="7"/>
        <v>36290</v>
      </c>
    </row>
    <row r="69" spans="1:25" ht="18" customHeight="1">
      <c r="A69" s="103" t="e">
        <f t="shared" si="8"/>
        <v>#REF!</v>
      </c>
      <c r="B69" s="154">
        <v>101183187700</v>
      </c>
      <c r="C69" s="161">
        <v>6723302545</v>
      </c>
      <c r="D69" s="161"/>
      <c r="E69" s="156" t="s">
        <v>172</v>
      </c>
      <c r="F69" s="167" t="s">
        <v>173</v>
      </c>
      <c r="G69" s="158" t="s">
        <v>174</v>
      </c>
      <c r="H69" s="109">
        <v>409</v>
      </c>
      <c r="I69" s="122">
        <v>30</v>
      </c>
      <c r="J69" s="103">
        <v>13580</v>
      </c>
      <c r="K69" s="103">
        <v>9200</v>
      </c>
      <c r="L69" s="103">
        <v>220</v>
      </c>
      <c r="M69" s="111">
        <f t="shared" si="0"/>
        <v>23000</v>
      </c>
      <c r="N69" s="103">
        <f t="shared" ref="N69:N124" si="13">M69</f>
        <v>23000</v>
      </c>
      <c r="O69" s="104">
        <f t="shared" ref="O69:O124" si="14">ROUND(J69/$AA$3*I69,0)</f>
        <v>13580</v>
      </c>
      <c r="P69" s="104">
        <f t="shared" ref="P69:P124" si="15">ROUND(K69/$AA$3*I69,0)</f>
        <v>9200</v>
      </c>
      <c r="Q69" s="104">
        <f t="shared" ref="Q69:Q124" si="16">ROUND(L69/$AA$3*I69,0)</f>
        <v>220</v>
      </c>
      <c r="R69" s="103"/>
      <c r="S69" s="112">
        <f t="shared" ref="S69:S124" si="17">O69+P69+Q69</f>
        <v>23000</v>
      </c>
      <c r="T69" s="103">
        <f>ROUND(IF(J69&gt;15000,(15000/$AA$3*I69)*12%,O69*12%)*1,0)</f>
        <v>1630</v>
      </c>
      <c r="U69" s="113">
        <v>0</v>
      </c>
      <c r="V69" s="116">
        <v>2000</v>
      </c>
      <c r="W69" s="111"/>
      <c r="X69" s="104">
        <f t="shared" ref="X69:X124" si="18">T69+U69+V69+W69</f>
        <v>3630</v>
      </c>
      <c r="Y69" s="112">
        <f t="shared" ref="Y69:Y124" si="19">S69-X69</f>
        <v>19370</v>
      </c>
    </row>
    <row r="70" spans="1:25" ht="18" customHeight="1">
      <c r="A70" s="103" t="e">
        <f t="shared" si="8"/>
        <v>#REF!</v>
      </c>
      <c r="B70" s="154">
        <v>101826408930</v>
      </c>
      <c r="C70" s="161" t="s">
        <v>30</v>
      </c>
      <c r="D70" s="161"/>
      <c r="E70" s="156" t="s">
        <v>175</v>
      </c>
      <c r="F70" s="167" t="s">
        <v>176</v>
      </c>
      <c r="G70" s="158" t="s">
        <v>177</v>
      </c>
      <c r="H70" s="109">
        <v>414</v>
      </c>
      <c r="I70" s="122">
        <v>30</v>
      </c>
      <c r="J70" s="103">
        <v>27000</v>
      </c>
      <c r="K70" s="103">
        <v>21600</v>
      </c>
      <c r="L70" s="103">
        <v>5400</v>
      </c>
      <c r="M70" s="111">
        <f t="shared" ref="M70:M125" si="20">J70+K70+L70</f>
        <v>54000</v>
      </c>
      <c r="N70" s="103">
        <f t="shared" si="13"/>
        <v>54000</v>
      </c>
      <c r="O70" s="104">
        <f t="shared" si="14"/>
        <v>27000</v>
      </c>
      <c r="P70" s="104">
        <f t="shared" si="15"/>
        <v>21600</v>
      </c>
      <c r="Q70" s="104">
        <f t="shared" si="16"/>
        <v>5400</v>
      </c>
      <c r="R70" s="103"/>
      <c r="S70" s="112">
        <f t="shared" si="17"/>
        <v>54000</v>
      </c>
      <c r="T70" s="103">
        <f>ROUND(IF(J70&gt;15000,(15000/$AA$3*I70)*12%,O70*12%)*1,0)</f>
        <v>1800</v>
      </c>
      <c r="U70" s="113">
        <v>0</v>
      </c>
      <c r="V70" s="116"/>
      <c r="W70" s="111"/>
      <c r="X70" s="104">
        <f t="shared" si="18"/>
        <v>1800</v>
      </c>
      <c r="Y70" s="112">
        <f t="shared" si="19"/>
        <v>52200</v>
      </c>
    </row>
    <row r="71" spans="1:25" ht="18" customHeight="1">
      <c r="A71" s="103" t="e">
        <f t="shared" ref="A71:A126" si="21">A70+1</f>
        <v>#REF!</v>
      </c>
      <c r="B71" s="163" t="s">
        <v>30</v>
      </c>
      <c r="C71" s="161" t="s">
        <v>30</v>
      </c>
      <c r="D71" s="161"/>
      <c r="E71" s="164" t="s">
        <v>643</v>
      </c>
      <c r="F71" s="168" t="s">
        <v>644</v>
      </c>
      <c r="G71" s="166" t="s">
        <v>645</v>
      </c>
      <c r="H71" s="140" t="s">
        <v>646</v>
      </c>
      <c r="I71" s="110">
        <v>30</v>
      </c>
      <c r="J71" s="103">
        <v>30000</v>
      </c>
      <c r="K71" s="103">
        <v>24000</v>
      </c>
      <c r="L71" s="103">
        <v>6000</v>
      </c>
      <c r="M71" s="111">
        <f t="shared" si="20"/>
        <v>60000</v>
      </c>
      <c r="N71" s="103">
        <f t="shared" si="13"/>
        <v>60000</v>
      </c>
      <c r="O71" s="104">
        <f t="shared" si="14"/>
        <v>30000</v>
      </c>
      <c r="P71" s="104">
        <f t="shared" si="15"/>
        <v>24000</v>
      </c>
      <c r="Q71" s="104">
        <f t="shared" si="16"/>
        <v>6000</v>
      </c>
      <c r="R71" s="103"/>
      <c r="S71" s="112">
        <f t="shared" si="17"/>
        <v>60000</v>
      </c>
      <c r="T71" s="113">
        <v>0</v>
      </c>
      <c r="U71" s="113">
        <v>0</v>
      </c>
      <c r="V71" s="116"/>
      <c r="W71" s="111"/>
      <c r="X71" s="104">
        <f t="shared" si="18"/>
        <v>0</v>
      </c>
      <c r="Y71" s="112">
        <f t="shared" si="19"/>
        <v>60000</v>
      </c>
    </row>
    <row r="72" spans="1:25" ht="18" customHeight="1">
      <c r="A72" s="103" t="e">
        <f t="shared" si="21"/>
        <v>#REF!</v>
      </c>
      <c r="B72" s="154">
        <v>100777528899</v>
      </c>
      <c r="C72" s="154" t="s">
        <v>30</v>
      </c>
      <c r="D72" s="154"/>
      <c r="E72" s="156" t="s">
        <v>178</v>
      </c>
      <c r="F72" s="167" t="s">
        <v>179</v>
      </c>
      <c r="G72" s="158" t="s">
        <v>180</v>
      </c>
      <c r="H72" s="109">
        <v>350</v>
      </c>
      <c r="I72" s="122">
        <v>30</v>
      </c>
      <c r="J72" s="103">
        <v>27500</v>
      </c>
      <c r="K72" s="103">
        <v>22000</v>
      </c>
      <c r="L72" s="103">
        <v>5500</v>
      </c>
      <c r="M72" s="111">
        <f t="shared" si="20"/>
        <v>55000</v>
      </c>
      <c r="N72" s="103">
        <f t="shared" si="13"/>
        <v>55000</v>
      </c>
      <c r="O72" s="104">
        <f t="shared" si="14"/>
        <v>27500</v>
      </c>
      <c r="P72" s="104">
        <f t="shared" si="15"/>
        <v>22000</v>
      </c>
      <c r="Q72" s="104">
        <f t="shared" si="16"/>
        <v>5500</v>
      </c>
      <c r="R72" s="103"/>
      <c r="S72" s="112">
        <f t="shared" si="17"/>
        <v>55000</v>
      </c>
      <c r="T72" s="103">
        <f>ROUND(IF(J72&gt;15000,(15000/$AA$3*I72)*12%,O72*12%)*1,0)</f>
        <v>1800</v>
      </c>
      <c r="U72" s="113">
        <v>0</v>
      </c>
      <c r="V72" s="116"/>
      <c r="W72" s="111"/>
      <c r="X72" s="104">
        <f t="shared" si="18"/>
        <v>1800</v>
      </c>
      <c r="Y72" s="112">
        <f t="shared" si="19"/>
        <v>53200</v>
      </c>
    </row>
    <row r="73" spans="1:25" ht="18" customHeight="1">
      <c r="A73" s="103" t="e">
        <f t="shared" si="21"/>
        <v>#REF!</v>
      </c>
      <c r="B73" s="154">
        <v>101820592056</v>
      </c>
      <c r="C73" s="154" t="s">
        <v>30</v>
      </c>
      <c r="D73" s="154"/>
      <c r="E73" s="156" t="s">
        <v>181</v>
      </c>
      <c r="F73" s="167" t="s">
        <v>182</v>
      </c>
      <c r="G73" s="158" t="s">
        <v>183</v>
      </c>
      <c r="H73" s="109">
        <v>340</v>
      </c>
      <c r="I73" s="122">
        <v>28.5</v>
      </c>
      <c r="J73" s="159">
        <v>27500</v>
      </c>
      <c r="K73" s="159">
        <v>22000</v>
      </c>
      <c r="L73" s="159">
        <v>5500</v>
      </c>
      <c r="M73" s="111">
        <f t="shared" si="20"/>
        <v>55000</v>
      </c>
      <c r="N73" s="103">
        <f t="shared" si="13"/>
        <v>55000</v>
      </c>
      <c r="O73" s="104">
        <f t="shared" si="14"/>
        <v>26125</v>
      </c>
      <c r="P73" s="104">
        <f t="shared" si="15"/>
        <v>20900</v>
      </c>
      <c r="Q73" s="104">
        <f t="shared" si="16"/>
        <v>5225</v>
      </c>
      <c r="R73" s="103"/>
      <c r="S73" s="112">
        <f t="shared" si="17"/>
        <v>52250</v>
      </c>
      <c r="T73" s="103">
        <f>ROUND(IF(J73&gt;15000,(15000/$AA$3*I73)*12%,O73*12%)*1,0)</f>
        <v>1710</v>
      </c>
      <c r="U73" s="113">
        <v>0</v>
      </c>
      <c r="V73" s="116"/>
      <c r="W73" s="111"/>
      <c r="X73" s="104">
        <f t="shared" si="18"/>
        <v>1710</v>
      </c>
      <c r="Y73" s="112">
        <f t="shared" si="19"/>
        <v>50540</v>
      </c>
    </row>
    <row r="74" spans="1:25" ht="18" customHeight="1">
      <c r="A74" s="103" t="e">
        <f t="shared" si="21"/>
        <v>#REF!</v>
      </c>
      <c r="B74" s="154" t="s">
        <v>30</v>
      </c>
      <c r="C74" s="154" t="s">
        <v>30</v>
      </c>
      <c r="D74" s="154"/>
      <c r="E74" s="156" t="s">
        <v>184</v>
      </c>
      <c r="F74" s="167" t="s">
        <v>185</v>
      </c>
      <c r="G74" s="158" t="s">
        <v>186</v>
      </c>
      <c r="H74" s="109">
        <v>316</v>
      </c>
      <c r="I74" s="122">
        <v>30</v>
      </c>
      <c r="J74" s="103">
        <v>24750</v>
      </c>
      <c r="K74" s="103">
        <v>19800</v>
      </c>
      <c r="L74" s="103">
        <v>4950</v>
      </c>
      <c r="M74" s="111">
        <f t="shared" si="20"/>
        <v>49500</v>
      </c>
      <c r="N74" s="103">
        <f t="shared" si="13"/>
        <v>49500</v>
      </c>
      <c r="O74" s="104">
        <f t="shared" si="14"/>
        <v>24750</v>
      </c>
      <c r="P74" s="104">
        <f t="shared" si="15"/>
        <v>19800</v>
      </c>
      <c r="Q74" s="104">
        <f t="shared" si="16"/>
        <v>4950</v>
      </c>
      <c r="R74" s="103"/>
      <c r="S74" s="112">
        <f t="shared" si="17"/>
        <v>49500</v>
      </c>
      <c r="T74" s="113">
        <v>0</v>
      </c>
      <c r="U74" s="113">
        <v>0</v>
      </c>
      <c r="V74" s="116"/>
      <c r="W74" s="111"/>
      <c r="X74" s="104">
        <f t="shared" si="18"/>
        <v>0</v>
      </c>
      <c r="Y74" s="112">
        <f t="shared" si="19"/>
        <v>49500</v>
      </c>
    </row>
    <row r="75" spans="1:25" ht="18" customHeight="1">
      <c r="A75" s="103" t="e">
        <f t="shared" si="21"/>
        <v>#REF!</v>
      </c>
      <c r="B75" s="154">
        <v>101659278589</v>
      </c>
      <c r="C75" s="154" t="s">
        <v>30</v>
      </c>
      <c r="D75" s="154" t="s">
        <v>43</v>
      </c>
      <c r="E75" s="156" t="s">
        <v>187</v>
      </c>
      <c r="F75" s="167" t="s">
        <v>188</v>
      </c>
      <c r="G75" s="158" t="s">
        <v>189</v>
      </c>
      <c r="H75" s="109">
        <v>314</v>
      </c>
      <c r="I75" s="122">
        <v>27</v>
      </c>
      <c r="J75" s="103">
        <v>25000</v>
      </c>
      <c r="K75" s="103">
        <v>20000</v>
      </c>
      <c r="L75" s="103">
        <v>5000</v>
      </c>
      <c r="M75" s="111">
        <f t="shared" si="20"/>
        <v>50000</v>
      </c>
      <c r="N75" s="103">
        <f t="shared" si="13"/>
        <v>50000</v>
      </c>
      <c r="O75" s="104">
        <f t="shared" si="14"/>
        <v>22500</v>
      </c>
      <c r="P75" s="104">
        <f t="shared" si="15"/>
        <v>18000</v>
      </c>
      <c r="Q75" s="104">
        <f t="shared" si="16"/>
        <v>4500</v>
      </c>
      <c r="R75" s="103"/>
      <c r="S75" s="112">
        <f t="shared" si="17"/>
        <v>45000</v>
      </c>
      <c r="T75" s="103">
        <f>ROUND(IF(J75&gt;15000,(15000/$AA$3*I75)*12%,O75*12%)*1,0)</f>
        <v>1620</v>
      </c>
      <c r="U75" s="113">
        <v>0</v>
      </c>
      <c r="V75" s="116"/>
      <c r="W75" s="111"/>
      <c r="X75" s="104">
        <f t="shared" si="18"/>
        <v>1620</v>
      </c>
      <c r="Y75" s="112">
        <f t="shared" si="19"/>
        <v>43380</v>
      </c>
    </row>
    <row r="76" spans="1:25" ht="18" customHeight="1">
      <c r="A76" s="103" t="e">
        <f t="shared" si="21"/>
        <v>#REF!</v>
      </c>
      <c r="B76" s="154">
        <v>101450097788</v>
      </c>
      <c r="C76" s="154" t="s">
        <v>30</v>
      </c>
      <c r="D76" s="154"/>
      <c r="E76" s="156" t="s">
        <v>190</v>
      </c>
      <c r="F76" s="167" t="s">
        <v>191</v>
      </c>
      <c r="G76" s="158" t="s">
        <v>192</v>
      </c>
      <c r="H76" s="109">
        <v>305</v>
      </c>
      <c r="I76" s="122">
        <v>30</v>
      </c>
      <c r="J76" s="103">
        <v>32500</v>
      </c>
      <c r="K76" s="103">
        <v>26000</v>
      </c>
      <c r="L76" s="103">
        <v>6500</v>
      </c>
      <c r="M76" s="111">
        <f t="shared" si="20"/>
        <v>65000</v>
      </c>
      <c r="N76" s="103">
        <f t="shared" si="13"/>
        <v>65000</v>
      </c>
      <c r="O76" s="104">
        <f t="shared" si="14"/>
        <v>32500</v>
      </c>
      <c r="P76" s="104">
        <f t="shared" si="15"/>
        <v>26000</v>
      </c>
      <c r="Q76" s="104">
        <f t="shared" si="16"/>
        <v>6500</v>
      </c>
      <c r="R76" s="103"/>
      <c r="S76" s="112">
        <f t="shared" si="17"/>
        <v>65000</v>
      </c>
      <c r="T76" s="103">
        <f>ROUND(IF(J76&gt;15000,(15000/$AA$3*I76)*12%,O76*12%)*1,0)</f>
        <v>1800</v>
      </c>
      <c r="U76" s="113">
        <v>0</v>
      </c>
      <c r="V76" s="116"/>
      <c r="W76" s="111"/>
      <c r="X76" s="104">
        <f t="shared" si="18"/>
        <v>1800</v>
      </c>
      <c r="Y76" s="112">
        <f t="shared" si="19"/>
        <v>63200</v>
      </c>
    </row>
    <row r="77" spans="1:25" ht="18" customHeight="1">
      <c r="A77" s="103" t="e">
        <f t="shared" si="21"/>
        <v>#REF!</v>
      </c>
      <c r="B77" s="154" t="s">
        <v>30</v>
      </c>
      <c r="C77" s="154" t="s">
        <v>30</v>
      </c>
      <c r="D77" s="154"/>
      <c r="E77" s="164" t="s">
        <v>647</v>
      </c>
      <c r="F77" s="168" t="s">
        <v>648</v>
      </c>
      <c r="G77" s="166" t="s">
        <v>649</v>
      </c>
      <c r="H77" s="140" t="s">
        <v>650</v>
      </c>
      <c r="I77" s="141">
        <v>28.5</v>
      </c>
      <c r="J77" s="103">
        <v>27500</v>
      </c>
      <c r="K77" s="103">
        <v>22000</v>
      </c>
      <c r="L77" s="103">
        <v>5500</v>
      </c>
      <c r="M77" s="111">
        <f t="shared" si="20"/>
        <v>55000</v>
      </c>
      <c r="N77" s="103">
        <f t="shared" si="13"/>
        <v>55000</v>
      </c>
      <c r="O77" s="104">
        <f t="shared" si="14"/>
        <v>26125</v>
      </c>
      <c r="P77" s="104">
        <f t="shared" si="15"/>
        <v>20900</v>
      </c>
      <c r="Q77" s="104">
        <f t="shared" si="16"/>
        <v>5225</v>
      </c>
      <c r="R77" s="103"/>
      <c r="S77" s="112">
        <f t="shared" si="17"/>
        <v>52250</v>
      </c>
      <c r="T77" s="113">
        <v>0</v>
      </c>
      <c r="U77" s="113">
        <v>0</v>
      </c>
      <c r="V77" s="116"/>
      <c r="W77" s="111"/>
      <c r="X77" s="104">
        <f t="shared" si="18"/>
        <v>0</v>
      </c>
      <c r="Y77" s="112">
        <f t="shared" si="19"/>
        <v>52250</v>
      </c>
    </row>
    <row r="78" spans="1:25" ht="18" customHeight="1">
      <c r="A78" s="103" t="e">
        <f t="shared" si="21"/>
        <v>#REF!</v>
      </c>
      <c r="B78" s="154">
        <v>102128869934</v>
      </c>
      <c r="C78" s="154" t="s">
        <v>30</v>
      </c>
      <c r="D78" s="154"/>
      <c r="E78" s="156" t="s">
        <v>193</v>
      </c>
      <c r="F78" s="167" t="s">
        <v>194</v>
      </c>
      <c r="G78" s="158" t="s">
        <v>195</v>
      </c>
      <c r="H78" s="109">
        <v>261</v>
      </c>
      <c r="I78" s="122">
        <v>30</v>
      </c>
      <c r="J78" s="103">
        <v>25000</v>
      </c>
      <c r="K78" s="103">
        <v>20000</v>
      </c>
      <c r="L78" s="103">
        <v>5000</v>
      </c>
      <c r="M78" s="111">
        <f t="shared" si="20"/>
        <v>50000</v>
      </c>
      <c r="N78" s="103">
        <f t="shared" si="13"/>
        <v>50000</v>
      </c>
      <c r="O78" s="104">
        <f t="shared" si="14"/>
        <v>25000</v>
      </c>
      <c r="P78" s="104">
        <f t="shared" si="15"/>
        <v>20000</v>
      </c>
      <c r="Q78" s="104">
        <f t="shared" si="16"/>
        <v>5000</v>
      </c>
      <c r="R78" s="103"/>
      <c r="S78" s="112">
        <f t="shared" si="17"/>
        <v>50000</v>
      </c>
      <c r="T78" s="103">
        <f>ROUND(IF(J78&gt;15000,(15000/$AA$3*I78)*12%,O78*12%)*1,0)</f>
        <v>1800</v>
      </c>
      <c r="U78" s="113">
        <v>0</v>
      </c>
      <c r="V78" s="116"/>
      <c r="W78" s="111"/>
      <c r="X78" s="104">
        <f t="shared" si="18"/>
        <v>1800</v>
      </c>
      <c r="Y78" s="112">
        <f t="shared" si="19"/>
        <v>48200</v>
      </c>
    </row>
    <row r="79" spans="1:25" ht="18" customHeight="1">
      <c r="A79" s="103" t="e">
        <f t="shared" si="21"/>
        <v>#REF!</v>
      </c>
      <c r="B79" s="154">
        <v>101989227485</v>
      </c>
      <c r="C79" s="154" t="s">
        <v>30</v>
      </c>
      <c r="D79" s="154"/>
      <c r="E79" s="156" t="s">
        <v>196</v>
      </c>
      <c r="F79" s="167" t="s">
        <v>197</v>
      </c>
      <c r="G79" s="158" t="s">
        <v>198</v>
      </c>
      <c r="H79" s="109">
        <v>1619</v>
      </c>
      <c r="I79" s="122">
        <v>30</v>
      </c>
      <c r="J79" s="103">
        <v>22500</v>
      </c>
      <c r="K79" s="103">
        <v>18000</v>
      </c>
      <c r="L79" s="103">
        <v>4500</v>
      </c>
      <c r="M79" s="111">
        <f t="shared" si="20"/>
        <v>45000</v>
      </c>
      <c r="N79" s="103">
        <f t="shared" si="13"/>
        <v>45000</v>
      </c>
      <c r="O79" s="104">
        <f t="shared" si="14"/>
        <v>22500</v>
      </c>
      <c r="P79" s="104">
        <f t="shared" si="15"/>
        <v>18000</v>
      </c>
      <c r="Q79" s="104">
        <f t="shared" si="16"/>
        <v>4500</v>
      </c>
      <c r="R79" s="103"/>
      <c r="S79" s="112">
        <f t="shared" si="17"/>
        <v>45000</v>
      </c>
      <c r="T79" s="103">
        <f>ROUND(IF(J79&gt;15000,(15000/$AA$3*I79)*12%,O79*12%)*1,0)</f>
        <v>1800</v>
      </c>
      <c r="U79" s="113">
        <v>0</v>
      </c>
      <c r="V79" s="116">
        <v>5000</v>
      </c>
      <c r="W79" s="111"/>
      <c r="X79" s="104">
        <f t="shared" si="18"/>
        <v>6800</v>
      </c>
      <c r="Y79" s="112">
        <f t="shared" si="19"/>
        <v>38200</v>
      </c>
    </row>
    <row r="80" spans="1:25" ht="18" customHeight="1">
      <c r="A80" s="103" t="e">
        <f t="shared" si="21"/>
        <v>#REF!</v>
      </c>
      <c r="B80" s="117">
        <v>102137756777</v>
      </c>
      <c r="C80" s="118">
        <v>6724049158</v>
      </c>
      <c r="D80" s="118" t="s">
        <v>43</v>
      </c>
      <c r="E80" s="153" t="s">
        <v>199</v>
      </c>
      <c r="F80" s="169" t="s">
        <v>200</v>
      </c>
      <c r="G80" s="144" t="s">
        <v>201</v>
      </c>
      <c r="H80" s="109">
        <v>1000</v>
      </c>
      <c r="I80" s="122">
        <v>30</v>
      </c>
      <c r="J80" s="103">
        <v>16000</v>
      </c>
      <c r="K80" s="103">
        <v>12800</v>
      </c>
      <c r="L80" s="103">
        <v>3200</v>
      </c>
      <c r="M80" s="111">
        <f t="shared" si="20"/>
        <v>32000</v>
      </c>
      <c r="N80" s="103">
        <f t="shared" si="13"/>
        <v>32000</v>
      </c>
      <c r="O80" s="104">
        <f t="shared" si="14"/>
        <v>16000</v>
      </c>
      <c r="P80" s="104">
        <f t="shared" si="15"/>
        <v>12800</v>
      </c>
      <c r="Q80" s="104">
        <f t="shared" si="16"/>
        <v>3200</v>
      </c>
      <c r="R80" s="103"/>
      <c r="S80" s="112">
        <f t="shared" si="17"/>
        <v>32000</v>
      </c>
      <c r="T80" s="103">
        <f>ROUND(IF(J80&gt;15000,(15000/$AA$3*I80)*12%,O80*12%)*1,0)</f>
        <v>1800</v>
      </c>
      <c r="U80" s="113">
        <v>0</v>
      </c>
      <c r="V80" s="103"/>
      <c r="W80" s="111"/>
      <c r="X80" s="104">
        <f t="shared" si="18"/>
        <v>1800</v>
      </c>
      <c r="Y80" s="112">
        <f t="shared" si="19"/>
        <v>30200</v>
      </c>
    </row>
    <row r="81" spans="1:25" ht="18" customHeight="1">
      <c r="A81" s="103" t="e">
        <f t="shared" si="21"/>
        <v>#REF!</v>
      </c>
      <c r="B81" s="117">
        <v>101792837002</v>
      </c>
      <c r="C81" s="118">
        <v>6722623162</v>
      </c>
      <c r="D81" s="118" t="s">
        <v>43</v>
      </c>
      <c r="E81" s="153" t="s">
        <v>202</v>
      </c>
      <c r="F81" s="169" t="s">
        <v>203</v>
      </c>
      <c r="G81" s="144" t="s">
        <v>204</v>
      </c>
      <c r="H81" s="109">
        <v>920</v>
      </c>
      <c r="I81" s="122">
        <v>30</v>
      </c>
      <c r="J81" s="103">
        <v>15000</v>
      </c>
      <c r="K81" s="103">
        <v>12000</v>
      </c>
      <c r="L81" s="103">
        <v>3000</v>
      </c>
      <c r="M81" s="111">
        <f t="shared" si="20"/>
        <v>30000</v>
      </c>
      <c r="N81" s="103">
        <f t="shared" si="13"/>
        <v>30000</v>
      </c>
      <c r="O81" s="104">
        <f t="shared" si="14"/>
        <v>15000</v>
      </c>
      <c r="P81" s="104">
        <f t="shared" si="15"/>
        <v>12000</v>
      </c>
      <c r="Q81" s="104">
        <f t="shared" si="16"/>
        <v>3000</v>
      </c>
      <c r="R81" s="103"/>
      <c r="S81" s="112">
        <f t="shared" si="17"/>
        <v>30000</v>
      </c>
      <c r="T81" s="103">
        <f>ROUND(IF(J81&gt;15000,(15000/$AA$3*I81)*12%,O81*12%)*1,0)</f>
        <v>1800</v>
      </c>
      <c r="U81" s="113">
        <v>0</v>
      </c>
      <c r="V81" s="103"/>
      <c r="W81" s="111"/>
      <c r="X81" s="104">
        <f t="shared" si="18"/>
        <v>1800</v>
      </c>
      <c r="Y81" s="112">
        <f t="shared" si="19"/>
        <v>28200</v>
      </c>
    </row>
    <row r="82" spans="1:25" ht="18" customHeight="1">
      <c r="A82" s="103" t="e">
        <f t="shared" si="21"/>
        <v>#REF!</v>
      </c>
      <c r="B82" s="117">
        <v>102137756852</v>
      </c>
      <c r="C82" s="118">
        <v>6724046669</v>
      </c>
      <c r="D82" s="118" t="s">
        <v>43</v>
      </c>
      <c r="E82" s="153" t="s">
        <v>205</v>
      </c>
      <c r="F82" s="169" t="s">
        <v>206</v>
      </c>
      <c r="G82" s="144" t="s">
        <v>207</v>
      </c>
      <c r="H82" s="109">
        <v>908</v>
      </c>
      <c r="I82" s="122">
        <v>30</v>
      </c>
      <c r="J82" s="103">
        <v>14000</v>
      </c>
      <c r="K82" s="103">
        <v>11200</v>
      </c>
      <c r="L82" s="103">
        <v>2800</v>
      </c>
      <c r="M82" s="111">
        <f t="shared" si="20"/>
        <v>28000</v>
      </c>
      <c r="N82" s="103">
        <f t="shared" si="13"/>
        <v>28000</v>
      </c>
      <c r="O82" s="104">
        <f t="shared" si="14"/>
        <v>14000</v>
      </c>
      <c r="P82" s="104">
        <f t="shared" si="15"/>
        <v>11200</v>
      </c>
      <c r="Q82" s="104">
        <f t="shared" si="16"/>
        <v>2800</v>
      </c>
      <c r="R82" s="103"/>
      <c r="S82" s="112">
        <f t="shared" si="17"/>
        <v>28000</v>
      </c>
      <c r="T82" s="103">
        <f>ROUND(IF(J82&gt;15000,(15000/$AA$3*I82)*12%,O82*12%)*1,0)</f>
        <v>1680</v>
      </c>
      <c r="U82" s="113">
        <v>0</v>
      </c>
      <c r="V82" s="103"/>
      <c r="W82" s="111"/>
      <c r="X82" s="104">
        <f t="shared" si="18"/>
        <v>1680</v>
      </c>
      <c r="Y82" s="112">
        <f t="shared" si="19"/>
        <v>26320</v>
      </c>
    </row>
    <row r="83" spans="1:25" ht="18" customHeight="1">
      <c r="A83" s="103" t="e">
        <f t="shared" si="21"/>
        <v>#REF!</v>
      </c>
      <c r="B83" s="170" t="s">
        <v>30</v>
      </c>
      <c r="C83" s="118" t="s">
        <v>30</v>
      </c>
      <c r="D83" s="118"/>
      <c r="E83" s="171" t="s">
        <v>651</v>
      </c>
      <c r="F83" s="172" t="s">
        <v>652</v>
      </c>
      <c r="G83" s="139" t="s">
        <v>653</v>
      </c>
      <c r="H83" s="140" t="s">
        <v>654</v>
      </c>
      <c r="I83" s="110">
        <v>30</v>
      </c>
      <c r="J83" s="103">
        <v>29000</v>
      </c>
      <c r="K83" s="103">
        <v>23200</v>
      </c>
      <c r="L83" s="103">
        <v>5800</v>
      </c>
      <c r="M83" s="111">
        <f t="shared" si="20"/>
        <v>58000</v>
      </c>
      <c r="N83" s="103">
        <f t="shared" si="13"/>
        <v>58000</v>
      </c>
      <c r="O83" s="104">
        <f t="shared" si="14"/>
        <v>29000</v>
      </c>
      <c r="P83" s="104">
        <f t="shared" si="15"/>
        <v>23200</v>
      </c>
      <c r="Q83" s="104">
        <f t="shared" si="16"/>
        <v>5800</v>
      </c>
      <c r="R83" s="103"/>
      <c r="S83" s="112">
        <f t="shared" si="17"/>
        <v>58000</v>
      </c>
      <c r="T83" s="173">
        <v>0</v>
      </c>
      <c r="U83" s="173">
        <v>0</v>
      </c>
      <c r="V83" s="174"/>
      <c r="W83" s="175"/>
      <c r="X83" s="104">
        <f t="shared" si="18"/>
        <v>0</v>
      </c>
      <c r="Y83" s="112">
        <f t="shared" si="19"/>
        <v>58000</v>
      </c>
    </row>
    <row r="84" spans="1:25" ht="18" customHeight="1">
      <c r="A84" s="103" t="e">
        <f t="shared" si="21"/>
        <v>#REF!</v>
      </c>
      <c r="B84" s="117">
        <v>101912089535</v>
      </c>
      <c r="C84" s="118" t="s">
        <v>30</v>
      </c>
      <c r="D84" s="118"/>
      <c r="E84" s="153" t="s">
        <v>208</v>
      </c>
      <c r="F84" s="169" t="s">
        <v>209</v>
      </c>
      <c r="G84" s="144" t="s">
        <v>210</v>
      </c>
      <c r="H84" s="109">
        <v>1015</v>
      </c>
      <c r="I84" s="122">
        <v>30</v>
      </c>
      <c r="J84" s="103">
        <v>17000</v>
      </c>
      <c r="K84" s="103">
        <v>13600</v>
      </c>
      <c r="L84" s="103">
        <v>3400</v>
      </c>
      <c r="M84" s="111">
        <f t="shared" si="20"/>
        <v>34000</v>
      </c>
      <c r="N84" s="103">
        <f t="shared" si="13"/>
        <v>34000</v>
      </c>
      <c r="O84" s="104">
        <f t="shared" si="14"/>
        <v>17000</v>
      </c>
      <c r="P84" s="104">
        <f t="shared" si="15"/>
        <v>13600</v>
      </c>
      <c r="Q84" s="104">
        <f t="shared" si="16"/>
        <v>3400</v>
      </c>
      <c r="R84" s="103"/>
      <c r="S84" s="112">
        <f t="shared" si="17"/>
        <v>34000</v>
      </c>
      <c r="T84" s="103">
        <f t="shared" ref="T84:T111" si="22">ROUND(IF(J84&gt;15000,(15000/$AA$3*I84)*12%,O84*12%)*1,0)</f>
        <v>1800</v>
      </c>
      <c r="U84" s="173">
        <v>0</v>
      </c>
      <c r="V84" s="174"/>
      <c r="W84" s="175"/>
      <c r="X84" s="104">
        <f t="shared" si="18"/>
        <v>1800</v>
      </c>
      <c r="Y84" s="112">
        <f t="shared" si="19"/>
        <v>32200</v>
      </c>
    </row>
    <row r="85" spans="1:25" ht="18" customHeight="1">
      <c r="A85" s="103" t="e">
        <f t="shared" si="21"/>
        <v>#REF!</v>
      </c>
      <c r="B85" s="117">
        <v>102157092967</v>
      </c>
      <c r="C85" s="118">
        <v>6113643400</v>
      </c>
      <c r="D85" s="118" t="s">
        <v>43</v>
      </c>
      <c r="E85" s="153" t="s">
        <v>211</v>
      </c>
      <c r="F85" s="169" t="s">
        <v>212</v>
      </c>
      <c r="G85" s="144" t="s">
        <v>213</v>
      </c>
      <c r="H85" s="109">
        <v>910</v>
      </c>
      <c r="I85" s="122">
        <v>28</v>
      </c>
      <c r="J85" s="103">
        <v>13580</v>
      </c>
      <c r="K85" s="103">
        <v>10400</v>
      </c>
      <c r="L85" s="103">
        <v>2020</v>
      </c>
      <c r="M85" s="111">
        <f t="shared" si="20"/>
        <v>26000</v>
      </c>
      <c r="N85" s="103">
        <f t="shared" si="13"/>
        <v>26000</v>
      </c>
      <c r="O85" s="104">
        <f t="shared" si="14"/>
        <v>12675</v>
      </c>
      <c r="P85" s="104">
        <f t="shared" si="15"/>
        <v>9707</v>
      </c>
      <c r="Q85" s="104">
        <f t="shared" si="16"/>
        <v>1885</v>
      </c>
      <c r="R85" s="103"/>
      <c r="S85" s="112">
        <f t="shared" si="17"/>
        <v>24267</v>
      </c>
      <c r="T85" s="103">
        <f t="shared" si="22"/>
        <v>1521</v>
      </c>
      <c r="U85" s="113">
        <v>0</v>
      </c>
      <c r="V85" s="174"/>
      <c r="W85" s="175"/>
      <c r="X85" s="104">
        <f t="shared" si="18"/>
        <v>1521</v>
      </c>
      <c r="Y85" s="112">
        <f t="shared" si="19"/>
        <v>22746</v>
      </c>
    </row>
    <row r="86" spans="1:25" ht="18" customHeight="1">
      <c r="A86" s="103" t="e">
        <f t="shared" si="21"/>
        <v>#REF!</v>
      </c>
      <c r="B86" s="170">
        <v>102150832185</v>
      </c>
      <c r="C86" s="118">
        <v>6724336085</v>
      </c>
      <c r="D86" s="118"/>
      <c r="E86" s="153" t="s">
        <v>214</v>
      </c>
      <c r="F86" s="169" t="s">
        <v>215</v>
      </c>
      <c r="G86" s="144" t="s">
        <v>216</v>
      </c>
      <c r="H86" s="109">
        <v>101</v>
      </c>
      <c r="I86" s="122">
        <v>30</v>
      </c>
      <c r="J86" s="103">
        <v>13580</v>
      </c>
      <c r="K86" s="103">
        <v>8920</v>
      </c>
      <c r="L86" s="103">
        <v>0</v>
      </c>
      <c r="M86" s="111">
        <f t="shared" si="20"/>
        <v>22500</v>
      </c>
      <c r="N86" s="103">
        <f t="shared" si="13"/>
        <v>22500</v>
      </c>
      <c r="O86" s="104">
        <f t="shared" si="14"/>
        <v>13580</v>
      </c>
      <c r="P86" s="104">
        <f t="shared" si="15"/>
        <v>8920</v>
      </c>
      <c r="Q86" s="104">
        <f t="shared" si="16"/>
        <v>0</v>
      </c>
      <c r="R86" s="103"/>
      <c r="S86" s="112">
        <f t="shared" si="17"/>
        <v>22500</v>
      </c>
      <c r="T86" s="103">
        <f t="shared" si="22"/>
        <v>1630</v>
      </c>
      <c r="U86" s="113">
        <v>0</v>
      </c>
      <c r="V86" s="174"/>
      <c r="W86" s="175"/>
      <c r="X86" s="104">
        <f t="shared" si="18"/>
        <v>1630</v>
      </c>
      <c r="Y86" s="112">
        <f t="shared" si="19"/>
        <v>20870</v>
      </c>
    </row>
    <row r="87" spans="1:25" ht="18" customHeight="1">
      <c r="A87" s="103" t="e">
        <f t="shared" si="21"/>
        <v>#REF!</v>
      </c>
      <c r="B87" s="170">
        <v>102169013910</v>
      </c>
      <c r="C87" s="118">
        <v>6724336108</v>
      </c>
      <c r="D87" s="118"/>
      <c r="E87" s="153" t="s">
        <v>217</v>
      </c>
      <c r="F87" s="169" t="s">
        <v>218</v>
      </c>
      <c r="G87" s="144" t="s">
        <v>219</v>
      </c>
      <c r="H87" s="109">
        <v>225</v>
      </c>
      <c r="I87" s="122">
        <v>30</v>
      </c>
      <c r="J87" s="103">
        <v>13580</v>
      </c>
      <c r="K87" s="103">
        <v>8420</v>
      </c>
      <c r="L87" s="103">
        <v>0</v>
      </c>
      <c r="M87" s="111">
        <f t="shared" si="20"/>
        <v>22000</v>
      </c>
      <c r="N87" s="103">
        <f t="shared" si="13"/>
        <v>22000</v>
      </c>
      <c r="O87" s="104">
        <f t="shared" si="14"/>
        <v>13580</v>
      </c>
      <c r="P87" s="104">
        <f t="shared" si="15"/>
        <v>8420</v>
      </c>
      <c r="Q87" s="104">
        <f t="shared" si="16"/>
        <v>0</v>
      </c>
      <c r="R87" s="103"/>
      <c r="S87" s="112">
        <f t="shared" si="17"/>
        <v>22000</v>
      </c>
      <c r="T87" s="103">
        <f t="shared" si="22"/>
        <v>1630</v>
      </c>
      <c r="U87" s="113">
        <v>0</v>
      </c>
      <c r="V87" s="174"/>
      <c r="W87" s="175"/>
      <c r="X87" s="104">
        <f t="shared" si="18"/>
        <v>1630</v>
      </c>
      <c r="Y87" s="112">
        <f t="shared" si="19"/>
        <v>20370</v>
      </c>
    </row>
    <row r="88" spans="1:25" ht="18" customHeight="1">
      <c r="A88" s="103" t="e">
        <f t="shared" si="21"/>
        <v>#REF!</v>
      </c>
      <c r="B88" s="170">
        <v>101960745354</v>
      </c>
      <c r="C88" s="118">
        <v>6724336143</v>
      </c>
      <c r="D88" s="118"/>
      <c r="E88" s="153" t="s">
        <v>220</v>
      </c>
      <c r="F88" s="169" t="s">
        <v>221</v>
      </c>
      <c r="G88" s="144" t="s">
        <v>222</v>
      </c>
      <c r="H88" s="109">
        <v>966</v>
      </c>
      <c r="I88" s="122">
        <v>30</v>
      </c>
      <c r="J88" s="103">
        <v>13580</v>
      </c>
      <c r="K88" s="103">
        <v>10400</v>
      </c>
      <c r="L88" s="103">
        <v>2020</v>
      </c>
      <c r="M88" s="111">
        <f t="shared" si="20"/>
        <v>26000</v>
      </c>
      <c r="N88" s="103">
        <f t="shared" si="13"/>
        <v>26000</v>
      </c>
      <c r="O88" s="104">
        <f t="shared" si="14"/>
        <v>13580</v>
      </c>
      <c r="P88" s="104">
        <f t="shared" si="15"/>
        <v>10400</v>
      </c>
      <c r="Q88" s="104">
        <f t="shared" si="16"/>
        <v>2020</v>
      </c>
      <c r="R88" s="103"/>
      <c r="S88" s="112">
        <f t="shared" si="17"/>
        <v>26000</v>
      </c>
      <c r="T88" s="103">
        <f t="shared" si="22"/>
        <v>1630</v>
      </c>
      <c r="U88" s="113">
        <v>0</v>
      </c>
      <c r="V88" s="174"/>
      <c r="W88" s="175"/>
      <c r="X88" s="104">
        <f t="shared" si="18"/>
        <v>1630</v>
      </c>
      <c r="Y88" s="112">
        <f t="shared" si="19"/>
        <v>24370</v>
      </c>
    </row>
    <row r="89" spans="1:25" ht="18" customHeight="1">
      <c r="A89" s="103" t="e">
        <f t="shared" si="21"/>
        <v>#REF!</v>
      </c>
      <c r="B89" s="170">
        <v>101968638729</v>
      </c>
      <c r="C89" s="118" t="s">
        <v>30</v>
      </c>
      <c r="D89" s="118"/>
      <c r="E89" s="153" t="s">
        <v>223</v>
      </c>
      <c r="F89" s="169" t="s">
        <v>224</v>
      </c>
      <c r="G89" s="144" t="s">
        <v>225</v>
      </c>
      <c r="H89" s="109">
        <v>223</v>
      </c>
      <c r="I89" s="122">
        <v>30</v>
      </c>
      <c r="J89" s="103">
        <v>16500</v>
      </c>
      <c r="K89" s="103">
        <v>13200</v>
      </c>
      <c r="L89" s="103">
        <v>3300</v>
      </c>
      <c r="M89" s="111">
        <f t="shared" si="20"/>
        <v>33000</v>
      </c>
      <c r="N89" s="103">
        <f t="shared" si="13"/>
        <v>33000</v>
      </c>
      <c r="O89" s="104">
        <f t="shared" si="14"/>
        <v>16500</v>
      </c>
      <c r="P89" s="104">
        <f t="shared" si="15"/>
        <v>13200</v>
      </c>
      <c r="Q89" s="104">
        <f t="shared" si="16"/>
        <v>3300</v>
      </c>
      <c r="R89" s="103"/>
      <c r="S89" s="112">
        <f t="shared" si="17"/>
        <v>33000</v>
      </c>
      <c r="T89" s="103">
        <f t="shared" si="22"/>
        <v>1800</v>
      </c>
      <c r="U89" s="173">
        <v>0</v>
      </c>
      <c r="V89" s="174"/>
      <c r="W89" s="175"/>
      <c r="X89" s="104">
        <f t="shared" si="18"/>
        <v>1800</v>
      </c>
      <c r="Y89" s="112">
        <f t="shared" si="19"/>
        <v>31200</v>
      </c>
    </row>
    <row r="90" spans="1:25" ht="18" customHeight="1">
      <c r="A90" s="103" t="e">
        <f t="shared" si="21"/>
        <v>#REF!</v>
      </c>
      <c r="B90" s="170">
        <v>102176635327</v>
      </c>
      <c r="C90" s="118">
        <v>6724384604</v>
      </c>
      <c r="D90" s="118" t="s">
        <v>43</v>
      </c>
      <c r="E90" s="153" t="s">
        <v>226</v>
      </c>
      <c r="F90" s="169" t="s">
        <v>227</v>
      </c>
      <c r="G90" s="144" t="s">
        <v>228</v>
      </c>
      <c r="H90" s="109">
        <v>906</v>
      </c>
      <c r="I90" s="122">
        <v>27</v>
      </c>
      <c r="J90" s="103">
        <v>13580</v>
      </c>
      <c r="K90" s="103">
        <v>10000</v>
      </c>
      <c r="L90" s="103">
        <v>1420</v>
      </c>
      <c r="M90" s="111">
        <f t="shared" si="20"/>
        <v>25000</v>
      </c>
      <c r="N90" s="103">
        <f t="shared" si="13"/>
        <v>25000</v>
      </c>
      <c r="O90" s="104">
        <f t="shared" si="14"/>
        <v>12222</v>
      </c>
      <c r="P90" s="104">
        <f t="shared" si="15"/>
        <v>9000</v>
      </c>
      <c r="Q90" s="104">
        <f t="shared" si="16"/>
        <v>1278</v>
      </c>
      <c r="R90" s="103"/>
      <c r="S90" s="112">
        <f t="shared" si="17"/>
        <v>22500</v>
      </c>
      <c r="T90" s="103">
        <f t="shared" si="22"/>
        <v>1467</v>
      </c>
      <c r="U90" s="113">
        <v>0</v>
      </c>
      <c r="V90" s="174"/>
      <c r="W90" s="175"/>
      <c r="X90" s="104">
        <f t="shared" si="18"/>
        <v>1467</v>
      </c>
      <c r="Y90" s="112">
        <f t="shared" si="19"/>
        <v>21033</v>
      </c>
    </row>
    <row r="91" spans="1:25" ht="18" customHeight="1">
      <c r="A91" s="103" t="e">
        <f t="shared" si="21"/>
        <v>#REF!</v>
      </c>
      <c r="B91" s="170">
        <v>102128028623</v>
      </c>
      <c r="C91" s="118">
        <v>2113354595</v>
      </c>
      <c r="D91" s="118" t="s">
        <v>43</v>
      </c>
      <c r="E91" s="153" t="s">
        <v>229</v>
      </c>
      <c r="F91" s="169" t="s">
        <v>230</v>
      </c>
      <c r="G91" s="144" t="s">
        <v>231</v>
      </c>
      <c r="H91" s="109">
        <v>909</v>
      </c>
      <c r="I91" s="122">
        <v>30</v>
      </c>
      <c r="J91" s="103">
        <v>13580</v>
      </c>
      <c r="K91" s="103">
        <v>9200</v>
      </c>
      <c r="L91" s="103">
        <v>220</v>
      </c>
      <c r="M91" s="111">
        <f t="shared" si="20"/>
        <v>23000</v>
      </c>
      <c r="N91" s="103">
        <f t="shared" si="13"/>
        <v>23000</v>
      </c>
      <c r="O91" s="104">
        <f t="shared" si="14"/>
        <v>13580</v>
      </c>
      <c r="P91" s="104">
        <f t="shared" si="15"/>
        <v>9200</v>
      </c>
      <c r="Q91" s="104">
        <f t="shared" si="16"/>
        <v>220</v>
      </c>
      <c r="R91" s="103"/>
      <c r="S91" s="112">
        <f t="shared" si="17"/>
        <v>23000</v>
      </c>
      <c r="T91" s="103">
        <f t="shared" si="22"/>
        <v>1630</v>
      </c>
      <c r="U91" s="113">
        <v>0</v>
      </c>
      <c r="V91" s="174"/>
      <c r="W91" s="175"/>
      <c r="X91" s="104">
        <f t="shared" si="18"/>
        <v>1630</v>
      </c>
      <c r="Y91" s="112">
        <f t="shared" si="19"/>
        <v>21370</v>
      </c>
    </row>
    <row r="92" spans="1:25" ht="18" customHeight="1">
      <c r="A92" s="103" t="e">
        <f t="shared" si="21"/>
        <v>#REF!</v>
      </c>
      <c r="B92" s="170">
        <v>102176635304</v>
      </c>
      <c r="C92" s="118">
        <v>6724384608</v>
      </c>
      <c r="D92" s="118" t="s">
        <v>43</v>
      </c>
      <c r="E92" s="153" t="s">
        <v>232</v>
      </c>
      <c r="F92" s="169" t="s">
        <v>233</v>
      </c>
      <c r="G92" s="144" t="s">
        <v>234</v>
      </c>
      <c r="H92" s="109">
        <v>983</v>
      </c>
      <c r="I92" s="122">
        <v>30</v>
      </c>
      <c r="J92" s="103">
        <v>13580</v>
      </c>
      <c r="K92" s="103">
        <v>9200</v>
      </c>
      <c r="L92" s="103">
        <v>220</v>
      </c>
      <c r="M92" s="111">
        <f t="shared" si="20"/>
        <v>23000</v>
      </c>
      <c r="N92" s="103">
        <f t="shared" si="13"/>
        <v>23000</v>
      </c>
      <c r="O92" s="104">
        <f t="shared" si="14"/>
        <v>13580</v>
      </c>
      <c r="P92" s="104">
        <f t="shared" si="15"/>
        <v>9200</v>
      </c>
      <c r="Q92" s="104">
        <f t="shared" si="16"/>
        <v>220</v>
      </c>
      <c r="R92" s="103"/>
      <c r="S92" s="112">
        <f t="shared" si="17"/>
        <v>23000</v>
      </c>
      <c r="T92" s="103">
        <f t="shared" si="22"/>
        <v>1630</v>
      </c>
      <c r="U92" s="113">
        <v>0</v>
      </c>
      <c r="V92" s="174"/>
      <c r="W92" s="175"/>
      <c r="X92" s="104">
        <f t="shared" si="18"/>
        <v>1630</v>
      </c>
      <c r="Y92" s="112">
        <f t="shared" si="19"/>
        <v>21370</v>
      </c>
    </row>
    <row r="93" spans="1:25" ht="18" customHeight="1">
      <c r="A93" s="103" t="e">
        <f>#REF!+1</f>
        <v>#REF!</v>
      </c>
      <c r="B93" s="117">
        <v>102116245907</v>
      </c>
      <c r="C93" s="118" t="s">
        <v>30</v>
      </c>
      <c r="D93" s="118"/>
      <c r="E93" s="153" t="s">
        <v>238</v>
      </c>
      <c r="F93" s="169" t="s">
        <v>239</v>
      </c>
      <c r="G93" s="144" t="s">
        <v>240</v>
      </c>
      <c r="H93" s="109">
        <v>793</v>
      </c>
      <c r="I93" s="122">
        <v>30</v>
      </c>
      <c r="J93" s="103">
        <v>18400</v>
      </c>
      <c r="K93" s="103">
        <v>14720</v>
      </c>
      <c r="L93" s="103">
        <v>3680</v>
      </c>
      <c r="M93" s="111">
        <f t="shared" si="20"/>
        <v>36800</v>
      </c>
      <c r="N93" s="103">
        <f t="shared" si="13"/>
        <v>36800</v>
      </c>
      <c r="O93" s="104">
        <f t="shared" si="14"/>
        <v>18400</v>
      </c>
      <c r="P93" s="104">
        <f t="shared" si="15"/>
        <v>14720</v>
      </c>
      <c r="Q93" s="104">
        <f t="shared" si="16"/>
        <v>3680</v>
      </c>
      <c r="R93" s="103"/>
      <c r="S93" s="112">
        <f t="shared" si="17"/>
        <v>36800</v>
      </c>
      <c r="T93" s="103">
        <f t="shared" si="22"/>
        <v>1800</v>
      </c>
      <c r="U93" s="173">
        <v>0</v>
      </c>
      <c r="V93" s="174"/>
      <c r="W93" s="175"/>
      <c r="X93" s="104">
        <f t="shared" si="18"/>
        <v>1800</v>
      </c>
      <c r="Y93" s="112">
        <f t="shared" si="19"/>
        <v>35000</v>
      </c>
    </row>
    <row r="94" spans="1:25" ht="18" customHeight="1">
      <c r="A94" s="103" t="e">
        <f>#REF!+1</f>
        <v>#REF!</v>
      </c>
      <c r="B94" s="117">
        <v>102187713960</v>
      </c>
      <c r="C94" s="176" t="s">
        <v>30</v>
      </c>
      <c r="D94" s="176"/>
      <c r="E94" s="124" t="s">
        <v>244</v>
      </c>
      <c r="F94" s="169" t="s">
        <v>245</v>
      </c>
      <c r="G94" s="177" t="s">
        <v>246</v>
      </c>
      <c r="H94" s="109">
        <v>967</v>
      </c>
      <c r="I94" s="122">
        <v>30</v>
      </c>
      <c r="J94" s="103">
        <v>30000</v>
      </c>
      <c r="K94" s="103">
        <v>24000</v>
      </c>
      <c r="L94" s="103">
        <v>6000</v>
      </c>
      <c r="M94" s="111">
        <f t="shared" si="20"/>
        <v>60000</v>
      </c>
      <c r="N94" s="103">
        <f t="shared" si="13"/>
        <v>60000</v>
      </c>
      <c r="O94" s="104">
        <f t="shared" si="14"/>
        <v>30000</v>
      </c>
      <c r="P94" s="104">
        <f t="shared" si="15"/>
        <v>24000</v>
      </c>
      <c r="Q94" s="104">
        <f t="shared" si="16"/>
        <v>6000</v>
      </c>
      <c r="R94" s="103"/>
      <c r="S94" s="112">
        <f t="shared" si="17"/>
        <v>60000</v>
      </c>
      <c r="T94" s="103">
        <f t="shared" si="22"/>
        <v>1800</v>
      </c>
      <c r="U94" s="173">
        <v>0</v>
      </c>
      <c r="V94" s="174"/>
      <c r="W94" s="175"/>
      <c r="X94" s="104">
        <f t="shared" si="18"/>
        <v>1800</v>
      </c>
      <c r="Y94" s="112">
        <f t="shared" si="19"/>
        <v>58200</v>
      </c>
    </row>
    <row r="95" spans="1:25" ht="18" customHeight="1">
      <c r="A95" s="103" t="e">
        <f>#REF!+1</f>
        <v>#REF!</v>
      </c>
      <c r="B95" s="117">
        <v>101883920831</v>
      </c>
      <c r="C95" s="176" t="s">
        <v>30</v>
      </c>
      <c r="D95" s="176"/>
      <c r="E95" s="124" t="s">
        <v>250</v>
      </c>
      <c r="F95" s="169" t="s">
        <v>251</v>
      </c>
      <c r="G95" s="177" t="s">
        <v>252</v>
      </c>
      <c r="H95" s="109">
        <v>811</v>
      </c>
      <c r="I95" s="122">
        <v>24</v>
      </c>
      <c r="J95" s="103">
        <v>15000</v>
      </c>
      <c r="K95" s="103">
        <v>12000</v>
      </c>
      <c r="L95" s="103">
        <v>3000</v>
      </c>
      <c r="M95" s="111">
        <f t="shared" si="20"/>
        <v>30000</v>
      </c>
      <c r="N95" s="103">
        <f t="shared" si="13"/>
        <v>30000</v>
      </c>
      <c r="O95" s="104">
        <f t="shared" si="14"/>
        <v>12000</v>
      </c>
      <c r="P95" s="104">
        <f t="shared" si="15"/>
        <v>9600</v>
      </c>
      <c r="Q95" s="104">
        <f t="shared" si="16"/>
        <v>2400</v>
      </c>
      <c r="R95" s="103"/>
      <c r="S95" s="112">
        <f t="shared" si="17"/>
        <v>24000</v>
      </c>
      <c r="T95" s="103">
        <f t="shared" si="22"/>
        <v>1440</v>
      </c>
      <c r="U95" s="173">
        <v>0</v>
      </c>
      <c r="V95" s="174"/>
      <c r="W95" s="175"/>
      <c r="X95" s="104">
        <f t="shared" si="18"/>
        <v>1440</v>
      </c>
      <c r="Y95" s="112">
        <f t="shared" si="19"/>
        <v>22560</v>
      </c>
    </row>
    <row r="96" spans="1:25" ht="18" customHeight="1">
      <c r="A96" s="103" t="e">
        <f t="shared" si="21"/>
        <v>#REF!</v>
      </c>
      <c r="B96" s="117">
        <v>102220294271</v>
      </c>
      <c r="C96" s="176">
        <v>6724794581</v>
      </c>
      <c r="D96" s="176"/>
      <c r="E96" s="124" t="s">
        <v>253</v>
      </c>
      <c r="F96" s="169" t="s">
        <v>254</v>
      </c>
      <c r="G96" s="177" t="s">
        <v>255</v>
      </c>
      <c r="H96" s="109">
        <v>812</v>
      </c>
      <c r="I96" s="122">
        <v>30</v>
      </c>
      <c r="J96" s="103">
        <v>13580</v>
      </c>
      <c r="K96" s="103">
        <v>6420</v>
      </c>
      <c r="L96" s="103">
        <v>0</v>
      </c>
      <c r="M96" s="111">
        <f t="shared" si="20"/>
        <v>20000</v>
      </c>
      <c r="N96" s="103">
        <f t="shared" si="13"/>
        <v>20000</v>
      </c>
      <c r="O96" s="104">
        <f t="shared" si="14"/>
        <v>13580</v>
      </c>
      <c r="P96" s="104">
        <f t="shared" si="15"/>
        <v>6420</v>
      </c>
      <c r="Q96" s="104">
        <f t="shared" si="16"/>
        <v>0</v>
      </c>
      <c r="R96" s="103"/>
      <c r="S96" s="112">
        <f t="shared" si="17"/>
        <v>20000</v>
      </c>
      <c r="T96" s="103">
        <f t="shared" si="22"/>
        <v>1630</v>
      </c>
      <c r="U96" s="104">
        <f t="shared" ref="U96:U98" si="23">ROUNDUP(S96*0.75/100,0)</f>
        <v>150</v>
      </c>
      <c r="V96" s="174"/>
      <c r="W96" s="175"/>
      <c r="X96" s="104">
        <f t="shared" si="18"/>
        <v>1780</v>
      </c>
      <c r="Y96" s="112">
        <f t="shared" si="19"/>
        <v>18220</v>
      </c>
    </row>
    <row r="97" spans="1:25" ht="18" customHeight="1">
      <c r="A97" s="103" t="e">
        <f t="shared" si="21"/>
        <v>#REF!</v>
      </c>
      <c r="B97" s="117">
        <v>100771758672</v>
      </c>
      <c r="C97" s="176">
        <v>6720971073</v>
      </c>
      <c r="D97" s="176"/>
      <c r="E97" s="125" t="s">
        <v>256</v>
      </c>
      <c r="F97" s="169" t="s">
        <v>257</v>
      </c>
      <c r="G97" s="177" t="s">
        <v>258</v>
      </c>
      <c r="H97" s="109" t="s">
        <v>259</v>
      </c>
      <c r="I97" s="122">
        <v>30</v>
      </c>
      <c r="J97" s="103">
        <v>13500</v>
      </c>
      <c r="K97" s="103">
        <v>0</v>
      </c>
      <c r="L97" s="103">
        <v>0</v>
      </c>
      <c r="M97" s="111">
        <f t="shared" si="20"/>
        <v>13500</v>
      </c>
      <c r="N97" s="103">
        <f t="shared" si="13"/>
        <v>13500</v>
      </c>
      <c r="O97" s="104">
        <f t="shared" si="14"/>
        <v>13500</v>
      </c>
      <c r="P97" s="104">
        <f t="shared" si="15"/>
        <v>0</v>
      </c>
      <c r="Q97" s="104">
        <f t="shared" si="16"/>
        <v>0</v>
      </c>
      <c r="R97" s="103"/>
      <c r="S97" s="112">
        <f t="shared" si="17"/>
        <v>13500</v>
      </c>
      <c r="T97" s="103">
        <f t="shared" si="22"/>
        <v>1620</v>
      </c>
      <c r="U97" s="104">
        <f t="shared" si="23"/>
        <v>102</v>
      </c>
      <c r="V97" s="174"/>
      <c r="W97" s="175"/>
      <c r="X97" s="104">
        <f t="shared" si="18"/>
        <v>1722</v>
      </c>
      <c r="Y97" s="112">
        <f t="shared" si="19"/>
        <v>11778</v>
      </c>
    </row>
    <row r="98" spans="1:25" ht="18" customHeight="1">
      <c r="A98" s="103" t="e">
        <f t="shared" si="21"/>
        <v>#REF!</v>
      </c>
      <c r="B98" s="117">
        <v>102220294244</v>
      </c>
      <c r="C98" s="176">
        <v>6724830231</v>
      </c>
      <c r="D98" s="176"/>
      <c r="E98" s="125" t="s">
        <v>260</v>
      </c>
      <c r="F98" s="169" t="s">
        <v>261</v>
      </c>
      <c r="G98" s="177" t="s">
        <v>262</v>
      </c>
      <c r="H98" s="109">
        <v>1541</v>
      </c>
      <c r="I98" s="122">
        <v>30</v>
      </c>
      <c r="J98" s="103">
        <v>13580</v>
      </c>
      <c r="K98" s="103">
        <v>1420</v>
      </c>
      <c r="L98" s="103">
        <v>0</v>
      </c>
      <c r="M98" s="111">
        <f t="shared" si="20"/>
        <v>15000</v>
      </c>
      <c r="N98" s="103">
        <f t="shared" si="13"/>
        <v>15000</v>
      </c>
      <c r="O98" s="104">
        <f t="shared" si="14"/>
        <v>13580</v>
      </c>
      <c r="P98" s="104">
        <f t="shared" si="15"/>
        <v>1420</v>
      </c>
      <c r="Q98" s="104">
        <f t="shared" si="16"/>
        <v>0</v>
      </c>
      <c r="R98" s="103"/>
      <c r="S98" s="112">
        <f t="shared" si="17"/>
        <v>15000</v>
      </c>
      <c r="T98" s="103">
        <f t="shared" si="22"/>
        <v>1630</v>
      </c>
      <c r="U98" s="104">
        <f t="shared" si="23"/>
        <v>113</v>
      </c>
      <c r="V98" s="174"/>
      <c r="W98" s="175"/>
      <c r="X98" s="104">
        <f t="shared" si="18"/>
        <v>1743</v>
      </c>
      <c r="Y98" s="112">
        <f t="shared" si="19"/>
        <v>13257</v>
      </c>
    </row>
    <row r="99" spans="1:25" ht="18" customHeight="1">
      <c r="A99" s="103" t="e">
        <f t="shared" si="21"/>
        <v>#REF!</v>
      </c>
      <c r="B99" s="117">
        <v>101968638717</v>
      </c>
      <c r="C99" s="176" t="s">
        <v>30</v>
      </c>
      <c r="D99" s="176"/>
      <c r="E99" s="124" t="s">
        <v>263</v>
      </c>
      <c r="F99" s="169" t="s">
        <v>264</v>
      </c>
      <c r="G99" s="177" t="s">
        <v>265</v>
      </c>
      <c r="H99" s="109">
        <v>1005</v>
      </c>
      <c r="I99" s="122">
        <v>30</v>
      </c>
      <c r="J99" s="103">
        <v>15000</v>
      </c>
      <c r="K99" s="103">
        <v>12000</v>
      </c>
      <c r="L99" s="103">
        <v>3000</v>
      </c>
      <c r="M99" s="111">
        <f t="shared" si="20"/>
        <v>30000</v>
      </c>
      <c r="N99" s="103">
        <f t="shared" si="13"/>
        <v>30000</v>
      </c>
      <c r="O99" s="104">
        <f t="shared" si="14"/>
        <v>15000</v>
      </c>
      <c r="P99" s="104">
        <f t="shared" si="15"/>
        <v>12000</v>
      </c>
      <c r="Q99" s="104">
        <f t="shared" si="16"/>
        <v>3000</v>
      </c>
      <c r="R99" s="103"/>
      <c r="S99" s="112">
        <f t="shared" si="17"/>
        <v>30000</v>
      </c>
      <c r="T99" s="103">
        <f t="shared" si="22"/>
        <v>1800</v>
      </c>
      <c r="U99" s="173">
        <v>0</v>
      </c>
      <c r="V99" s="174"/>
      <c r="W99" s="175"/>
      <c r="X99" s="104">
        <f t="shared" si="18"/>
        <v>1800</v>
      </c>
      <c r="Y99" s="112">
        <f t="shared" si="19"/>
        <v>28200</v>
      </c>
    </row>
    <row r="100" spans="1:25" ht="18" customHeight="1">
      <c r="A100" s="103" t="e">
        <f t="shared" si="21"/>
        <v>#REF!</v>
      </c>
      <c r="B100" s="117">
        <v>102229322700</v>
      </c>
      <c r="C100" s="176">
        <v>6724944505</v>
      </c>
      <c r="D100" s="176" t="s">
        <v>43</v>
      </c>
      <c r="E100" s="124" t="s">
        <v>266</v>
      </c>
      <c r="F100" s="169" t="s">
        <v>267</v>
      </c>
      <c r="G100" s="177" t="s">
        <v>268</v>
      </c>
      <c r="H100" s="109">
        <v>1019</v>
      </c>
      <c r="I100" s="122">
        <v>30</v>
      </c>
      <c r="J100" s="103">
        <v>13580</v>
      </c>
      <c r="K100" s="103">
        <v>6420</v>
      </c>
      <c r="L100" s="103">
        <v>0</v>
      </c>
      <c r="M100" s="111">
        <f t="shared" si="20"/>
        <v>20000</v>
      </c>
      <c r="N100" s="103">
        <f t="shared" si="13"/>
        <v>20000</v>
      </c>
      <c r="O100" s="104">
        <f t="shared" si="14"/>
        <v>13580</v>
      </c>
      <c r="P100" s="104">
        <f t="shared" si="15"/>
        <v>6420</v>
      </c>
      <c r="Q100" s="104">
        <f t="shared" si="16"/>
        <v>0</v>
      </c>
      <c r="R100" s="103"/>
      <c r="S100" s="112">
        <f t="shared" si="17"/>
        <v>20000</v>
      </c>
      <c r="T100" s="103">
        <f t="shared" si="22"/>
        <v>1630</v>
      </c>
      <c r="U100" s="104">
        <f t="shared" ref="U100:U104" si="24">ROUNDUP(S100*0.75/100,0)</f>
        <v>150</v>
      </c>
      <c r="V100" s="174"/>
      <c r="W100" s="175"/>
      <c r="X100" s="104">
        <f t="shared" si="18"/>
        <v>1780</v>
      </c>
      <c r="Y100" s="112">
        <f t="shared" si="19"/>
        <v>18220</v>
      </c>
    </row>
    <row r="101" spans="1:25" ht="18" customHeight="1">
      <c r="A101" s="103" t="e">
        <f t="shared" si="21"/>
        <v>#REF!</v>
      </c>
      <c r="B101" s="117">
        <v>102186018751</v>
      </c>
      <c r="C101" s="176">
        <v>6724944511</v>
      </c>
      <c r="D101" s="176" t="s">
        <v>43</v>
      </c>
      <c r="E101" s="124" t="s">
        <v>269</v>
      </c>
      <c r="F101" s="169" t="s">
        <v>270</v>
      </c>
      <c r="G101" s="177" t="s">
        <v>271</v>
      </c>
      <c r="H101" s="109">
        <v>1021</v>
      </c>
      <c r="I101" s="122">
        <v>30</v>
      </c>
      <c r="J101" s="103">
        <v>13580</v>
      </c>
      <c r="K101" s="103">
        <v>6420</v>
      </c>
      <c r="L101" s="103">
        <v>0</v>
      </c>
      <c r="M101" s="111">
        <f t="shared" si="20"/>
        <v>20000</v>
      </c>
      <c r="N101" s="103">
        <f t="shared" si="13"/>
        <v>20000</v>
      </c>
      <c r="O101" s="104">
        <f t="shared" si="14"/>
        <v>13580</v>
      </c>
      <c r="P101" s="104">
        <f t="shared" si="15"/>
        <v>6420</v>
      </c>
      <c r="Q101" s="104">
        <f t="shared" si="16"/>
        <v>0</v>
      </c>
      <c r="R101" s="103"/>
      <c r="S101" s="112">
        <f t="shared" si="17"/>
        <v>20000</v>
      </c>
      <c r="T101" s="103">
        <f t="shared" si="22"/>
        <v>1630</v>
      </c>
      <c r="U101" s="104">
        <f t="shared" si="24"/>
        <v>150</v>
      </c>
      <c r="V101" s="174"/>
      <c r="W101" s="175"/>
      <c r="X101" s="104">
        <f t="shared" si="18"/>
        <v>1780</v>
      </c>
      <c r="Y101" s="112">
        <f t="shared" si="19"/>
        <v>18220</v>
      </c>
    </row>
    <row r="102" spans="1:25" ht="18" customHeight="1">
      <c r="A102" s="103" t="e">
        <f t="shared" si="21"/>
        <v>#REF!</v>
      </c>
      <c r="B102" s="117">
        <v>102231608704</v>
      </c>
      <c r="C102" s="176">
        <v>6724944509</v>
      </c>
      <c r="D102" s="176" t="s">
        <v>43</v>
      </c>
      <c r="E102" s="124" t="s">
        <v>272</v>
      </c>
      <c r="F102" s="169" t="s">
        <v>273</v>
      </c>
      <c r="G102" s="177" t="s">
        <v>274</v>
      </c>
      <c r="H102" s="109">
        <v>1022</v>
      </c>
      <c r="I102" s="122">
        <v>30</v>
      </c>
      <c r="J102" s="103">
        <v>13580</v>
      </c>
      <c r="K102" s="103">
        <v>8420</v>
      </c>
      <c r="L102" s="103">
        <v>0</v>
      </c>
      <c r="M102" s="111">
        <f t="shared" si="20"/>
        <v>22000</v>
      </c>
      <c r="N102" s="103">
        <f t="shared" si="13"/>
        <v>22000</v>
      </c>
      <c r="O102" s="104">
        <f t="shared" si="14"/>
        <v>13580</v>
      </c>
      <c r="P102" s="104">
        <f t="shared" si="15"/>
        <v>8420</v>
      </c>
      <c r="Q102" s="104">
        <f t="shared" si="16"/>
        <v>0</v>
      </c>
      <c r="R102" s="103"/>
      <c r="S102" s="112">
        <f t="shared" si="17"/>
        <v>22000</v>
      </c>
      <c r="T102" s="103">
        <f t="shared" si="22"/>
        <v>1630</v>
      </c>
      <c r="U102" s="113">
        <v>0</v>
      </c>
      <c r="V102" s="174"/>
      <c r="W102" s="175"/>
      <c r="X102" s="104">
        <f t="shared" si="18"/>
        <v>1630</v>
      </c>
      <c r="Y102" s="112">
        <f t="shared" si="19"/>
        <v>20370</v>
      </c>
    </row>
    <row r="103" spans="1:25" ht="18" customHeight="1">
      <c r="A103" s="103" t="e">
        <f t="shared" si="21"/>
        <v>#REF!</v>
      </c>
      <c r="B103" s="117">
        <v>102240263949</v>
      </c>
      <c r="C103" s="176">
        <v>6725008497</v>
      </c>
      <c r="D103" s="176" t="s">
        <v>43</v>
      </c>
      <c r="E103" s="124" t="s">
        <v>275</v>
      </c>
      <c r="F103" s="169" t="s">
        <v>276</v>
      </c>
      <c r="G103" s="177" t="s">
        <v>277</v>
      </c>
      <c r="H103" s="109">
        <v>1094</v>
      </c>
      <c r="I103" s="122">
        <v>29</v>
      </c>
      <c r="J103" s="103">
        <v>13580</v>
      </c>
      <c r="K103" s="103">
        <v>9200</v>
      </c>
      <c r="L103" s="103">
        <v>220</v>
      </c>
      <c r="M103" s="111">
        <f t="shared" si="20"/>
        <v>23000</v>
      </c>
      <c r="N103" s="103">
        <f t="shared" si="13"/>
        <v>23000</v>
      </c>
      <c r="O103" s="104">
        <f t="shared" si="14"/>
        <v>13127</v>
      </c>
      <c r="P103" s="104">
        <f t="shared" si="15"/>
        <v>8893</v>
      </c>
      <c r="Q103" s="104">
        <f t="shared" si="16"/>
        <v>213</v>
      </c>
      <c r="R103" s="103"/>
      <c r="S103" s="112">
        <f t="shared" si="17"/>
        <v>22233</v>
      </c>
      <c r="T103" s="103">
        <f t="shared" si="22"/>
        <v>1575</v>
      </c>
      <c r="U103" s="113">
        <v>0</v>
      </c>
      <c r="V103" s="174"/>
      <c r="W103" s="175"/>
      <c r="X103" s="104">
        <f t="shared" si="18"/>
        <v>1575</v>
      </c>
      <c r="Y103" s="112">
        <f t="shared" si="19"/>
        <v>20658</v>
      </c>
    </row>
    <row r="104" spans="1:25" ht="18" customHeight="1">
      <c r="A104" s="103" t="e">
        <f t="shared" si="21"/>
        <v>#REF!</v>
      </c>
      <c r="B104" s="117">
        <v>102240263690</v>
      </c>
      <c r="C104" s="176">
        <v>6725008496</v>
      </c>
      <c r="D104" s="176"/>
      <c r="E104" s="124" t="s">
        <v>161</v>
      </c>
      <c r="F104" s="169" t="s">
        <v>278</v>
      </c>
      <c r="G104" s="177" t="s">
        <v>279</v>
      </c>
      <c r="H104" s="109">
        <v>1103</v>
      </c>
      <c r="I104" s="122">
        <v>30</v>
      </c>
      <c r="J104" s="103">
        <v>13580</v>
      </c>
      <c r="K104" s="103">
        <v>6420</v>
      </c>
      <c r="L104" s="103">
        <v>0</v>
      </c>
      <c r="M104" s="111">
        <f t="shared" si="20"/>
        <v>20000</v>
      </c>
      <c r="N104" s="103">
        <f t="shared" si="13"/>
        <v>20000</v>
      </c>
      <c r="O104" s="104">
        <f t="shared" si="14"/>
        <v>13580</v>
      </c>
      <c r="P104" s="104">
        <f t="shared" si="15"/>
        <v>6420</v>
      </c>
      <c r="Q104" s="104">
        <f t="shared" si="16"/>
        <v>0</v>
      </c>
      <c r="R104" s="103"/>
      <c r="S104" s="112">
        <f t="shared" si="17"/>
        <v>20000</v>
      </c>
      <c r="T104" s="103">
        <f t="shared" si="22"/>
        <v>1630</v>
      </c>
      <c r="U104" s="104">
        <f t="shared" si="24"/>
        <v>150</v>
      </c>
      <c r="V104" s="174"/>
      <c r="W104" s="175"/>
      <c r="X104" s="104">
        <f t="shared" si="18"/>
        <v>1780</v>
      </c>
      <c r="Y104" s="112">
        <f t="shared" si="19"/>
        <v>18220</v>
      </c>
    </row>
    <row r="105" spans="1:25" ht="18" customHeight="1">
      <c r="A105" s="103" t="e">
        <f t="shared" si="21"/>
        <v>#REF!</v>
      </c>
      <c r="B105" s="117">
        <v>102241142661</v>
      </c>
      <c r="C105" s="176">
        <v>6725021368</v>
      </c>
      <c r="D105" s="176" t="s">
        <v>43</v>
      </c>
      <c r="E105" s="124" t="s">
        <v>280</v>
      </c>
      <c r="F105" s="169" t="s">
        <v>281</v>
      </c>
      <c r="G105" s="177" t="s">
        <v>282</v>
      </c>
      <c r="H105" s="109">
        <v>1077</v>
      </c>
      <c r="I105" s="122">
        <v>30</v>
      </c>
      <c r="J105" s="103">
        <v>13580</v>
      </c>
      <c r="K105" s="103">
        <v>10000</v>
      </c>
      <c r="L105" s="103">
        <v>1420</v>
      </c>
      <c r="M105" s="111">
        <f t="shared" si="20"/>
        <v>25000</v>
      </c>
      <c r="N105" s="103">
        <f t="shared" si="13"/>
        <v>25000</v>
      </c>
      <c r="O105" s="104">
        <f t="shared" si="14"/>
        <v>13580</v>
      </c>
      <c r="P105" s="104">
        <f t="shared" si="15"/>
        <v>10000</v>
      </c>
      <c r="Q105" s="104">
        <f t="shared" si="16"/>
        <v>1420</v>
      </c>
      <c r="R105" s="103"/>
      <c r="S105" s="112">
        <f t="shared" si="17"/>
        <v>25000</v>
      </c>
      <c r="T105" s="103">
        <f t="shared" si="22"/>
        <v>1630</v>
      </c>
      <c r="U105" s="113">
        <v>0</v>
      </c>
      <c r="V105" s="174"/>
      <c r="W105" s="175"/>
      <c r="X105" s="104">
        <f t="shared" si="18"/>
        <v>1630</v>
      </c>
      <c r="Y105" s="112">
        <f t="shared" si="19"/>
        <v>23370</v>
      </c>
    </row>
    <row r="106" spans="1:25" ht="18" customHeight="1">
      <c r="A106" s="103" t="e">
        <f t="shared" si="21"/>
        <v>#REF!</v>
      </c>
      <c r="B106" s="117">
        <v>102244806449</v>
      </c>
      <c r="C106" s="176">
        <v>6725065257</v>
      </c>
      <c r="D106" s="176"/>
      <c r="E106" s="124" t="s">
        <v>283</v>
      </c>
      <c r="F106" s="169" t="s">
        <v>284</v>
      </c>
      <c r="G106" s="177" t="s">
        <v>285</v>
      </c>
      <c r="H106" s="109">
        <v>1156</v>
      </c>
      <c r="I106" s="122">
        <v>28</v>
      </c>
      <c r="J106" s="103">
        <v>13580</v>
      </c>
      <c r="K106" s="103">
        <v>9600</v>
      </c>
      <c r="L106" s="103">
        <v>820</v>
      </c>
      <c r="M106" s="111">
        <f t="shared" si="20"/>
        <v>24000</v>
      </c>
      <c r="N106" s="103">
        <f t="shared" si="13"/>
        <v>24000</v>
      </c>
      <c r="O106" s="104">
        <f t="shared" si="14"/>
        <v>12675</v>
      </c>
      <c r="P106" s="104">
        <f t="shared" si="15"/>
        <v>8960</v>
      </c>
      <c r="Q106" s="104">
        <f t="shared" si="16"/>
        <v>765</v>
      </c>
      <c r="R106" s="103"/>
      <c r="S106" s="112">
        <f t="shared" si="17"/>
        <v>22400</v>
      </c>
      <c r="T106" s="103">
        <f t="shared" si="22"/>
        <v>1521</v>
      </c>
      <c r="U106" s="113">
        <v>0</v>
      </c>
      <c r="V106" s="174"/>
      <c r="W106" s="175"/>
      <c r="X106" s="104">
        <f t="shared" si="18"/>
        <v>1521</v>
      </c>
      <c r="Y106" s="112">
        <f t="shared" si="19"/>
        <v>20879</v>
      </c>
    </row>
    <row r="107" spans="1:25" ht="18" customHeight="1">
      <c r="A107" s="103" t="e">
        <f t="shared" si="21"/>
        <v>#REF!</v>
      </c>
      <c r="B107" s="117">
        <v>102247665882</v>
      </c>
      <c r="C107" s="176" t="s">
        <v>30</v>
      </c>
      <c r="D107" s="176"/>
      <c r="E107" s="125" t="s">
        <v>286</v>
      </c>
      <c r="F107" s="169" t="s">
        <v>287</v>
      </c>
      <c r="G107" s="177" t="s">
        <v>288</v>
      </c>
      <c r="H107" s="109">
        <v>1109</v>
      </c>
      <c r="I107" s="122">
        <v>30</v>
      </c>
      <c r="J107" s="103">
        <v>21500</v>
      </c>
      <c r="K107" s="103">
        <v>17200</v>
      </c>
      <c r="L107" s="103">
        <v>4300</v>
      </c>
      <c r="M107" s="111">
        <f t="shared" si="20"/>
        <v>43000</v>
      </c>
      <c r="N107" s="103">
        <f t="shared" si="13"/>
        <v>43000</v>
      </c>
      <c r="O107" s="104">
        <f t="shared" si="14"/>
        <v>21500</v>
      </c>
      <c r="P107" s="104">
        <f t="shared" si="15"/>
        <v>17200</v>
      </c>
      <c r="Q107" s="104">
        <f t="shared" si="16"/>
        <v>4300</v>
      </c>
      <c r="R107" s="103"/>
      <c r="S107" s="112">
        <f t="shared" si="17"/>
        <v>43000</v>
      </c>
      <c r="T107" s="103">
        <f t="shared" si="22"/>
        <v>1800</v>
      </c>
      <c r="U107" s="173">
        <v>0</v>
      </c>
      <c r="V107" s="174"/>
      <c r="W107" s="175"/>
      <c r="X107" s="104">
        <f t="shared" si="18"/>
        <v>1800</v>
      </c>
      <c r="Y107" s="112">
        <f t="shared" si="19"/>
        <v>41200</v>
      </c>
    </row>
    <row r="108" spans="1:25" ht="18" customHeight="1">
      <c r="A108" s="103" t="e">
        <f t="shared" si="21"/>
        <v>#REF!</v>
      </c>
      <c r="B108" s="117">
        <v>101682050028</v>
      </c>
      <c r="C108" s="176" t="s">
        <v>30</v>
      </c>
      <c r="D108" s="176"/>
      <c r="E108" s="125" t="s">
        <v>289</v>
      </c>
      <c r="F108" s="169" t="s">
        <v>290</v>
      </c>
      <c r="G108" s="177" t="s">
        <v>291</v>
      </c>
      <c r="H108" s="109">
        <v>1110</v>
      </c>
      <c r="I108" s="122">
        <v>30</v>
      </c>
      <c r="J108" s="103">
        <v>13580</v>
      </c>
      <c r="K108" s="103">
        <v>10000</v>
      </c>
      <c r="L108" s="103">
        <v>1420</v>
      </c>
      <c r="M108" s="111">
        <f t="shared" si="20"/>
        <v>25000</v>
      </c>
      <c r="N108" s="103">
        <f t="shared" si="13"/>
        <v>25000</v>
      </c>
      <c r="O108" s="104">
        <f t="shared" si="14"/>
        <v>13580</v>
      </c>
      <c r="P108" s="104">
        <f t="shared" si="15"/>
        <v>10000</v>
      </c>
      <c r="Q108" s="104">
        <f t="shared" si="16"/>
        <v>1420</v>
      </c>
      <c r="R108" s="103"/>
      <c r="S108" s="112">
        <f t="shared" si="17"/>
        <v>25000</v>
      </c>
      <c r="T108" s="103">
        <f t="shared" si="22"/>
        <v>1630</v>
      </c>
      <c r="U108" s="173">
        <v>0</v>
      </c>
      <c r="V108" s="174"/>
      <c r="W108" s="175"/>
      <c r="X108" s="104">
        <f t="shared" si="18"/>
        <v>1630</v>
      </c>
      <c r="Y108" s="112">
        <f t="shared" si="19"/>
        <v>23370</v>
      </c>
    </row>
    <row r="109" spans="1:25" ht="18" customHeight="1">
      <c r="A109" s="103" t="e">
        <f t="shared" si="21"/>
        <v>#REF!</v>
      </c>
      <c r="B109" s="117">
        <v>102244791161</v>
      </c>
      <c r="C109" s="176">
        <v>6725053062</v>
      </c>
      <c r="D109" s="176" t="s">
        <v>43</v>
      </c>
      <c r="E109" s="124" t="s">
        <v>292</v>
      </c>
      <c r="F109" s="169" t="s">
        <v>293</v>
      </c>
      <c r="G109" s="177" t="s">
        <v>294</v>
      </c>
      <c r="H109" s="109">
        <v>1106</v>
      </c>
      <c r="I109" s="122">
        <v>30</v>
      </c>
      <c r="J109" s="103">
        <v>13580</v>
      </c>
      <c r="K109" s="103">
        <v>6420</v>
      </c>
      <c r="L109" s="103">
        <v>0</v>
      </c>
      <c r="M109" s="111">
        <f t="shared" si="20"/>
        <v>20000</v>
      </c>
      <c r="N109" s="103">
        <f t="shared" si="13"/>
        <v>20000</v>
      </c>
      <c r="O109" s="104">
        <f t="shared" si="14"/>
        <v>13580</v>
      </c>
      <c r="P109" s="104">
        <f t="shared" si="15"/>
        <v>6420</v>
      </c>
      <c r="Q109" s="104">
        <f t="shared" si="16"/>
        <v>0</v>
      </c>
      <c r="R109" s="103"/>
      <c r="S109" s="112">
        <f t="shared" si="17"/>
        <v>20000</v>
      </c>
      <c r="T109" s="103">
        <f t="shared" si="22"/>
        <v>1630</v>
      </c>
      <c r="U109" s="104">
        <f t="shared" ref="U109:U111" si="25">ROUNDUP(S109*0.75/100,0)</f>
        <v>150</v>
      </c>
      <c r="V109" s="174"/>
      <c r="W109" s="175"/>
      <c r="X109" s="104">
        <f t="shared" si="18"/>
        <v>1780</v>
      </c>
      <c r="Y109" s="112">
        <f t="shared" si="19"/>
        <v>18220</v>
      </c>
    </row>
    <row r="110" spans="1:25" ht="18" customHeight="1">
      <c r="A110" s="103" t="e">
        <f t="shared" si="21"/>
        <v>#REF!</v>
      </c>
      <c r="B110" s="117">
        <v>101779834733</v>
      </c>
      <c r="C110" s="176">
        <v>6720588396</v>
      </c>
      <c r="D110" s="176" t="s">
        <v>43</v>
      </c>
      <c r="E110" s="124" t="s">
        <v>295</v>
      </c>
      <c r="F110" s="169" t="s">
        <v>296</v>
      </c>
      <c r="G110" s="177" t="s">
        <v>297</v>
      </c>
      <c r="H110" s="109">
        <v>1141</v>
      </c>
      <c r="I110" s="122">
        <v>30</v>
      </c>
      <c r="J110" s="103">
        <v>13580</v>
      </c>
      <c r="K110" s="103">
        <v>6420</v>
      </c>
      <c r="L110" s="103">
        <v>0</v>
      </c>
      <c r="M110" s="111">
        <f t="shared" si="20"/>
        <v>20000</v>
      </c>
      <c r="N110" s="103">
        <f t="shared" si="13"/>
        <v>20000</v>
      </c>
      <c r="O110" s="104">
        <f t="shared" si="14"/>
        <v>13580</v>
      </c>
      <c r="P110" s="104">
        <f t="shared" si="15"/>
        <v>6420</v>
      </c>
      <c r="Q110" s="104">
        <f t="shared" si="16"/>
        <v>0</v>
      </c>
      <c r="R110" s="103"/>
      <c r="S110" s="112">
        <f t="shared" si="17"/>
        <v>20000</v>
      </c>
      <c r="T110" s="103">
        <f t="shared" si="22"/>
        <v>1630</v>
      </c>
      <c r="U110" s="104">
        <f t="shared" si="25"/>
        <v>150</v>
      </c>
      <c r="V110" s="174"/>
      <c r="W110" s="175"/>
      <c r="X110" s="104">
        <f t="shared" si="18"/>
        <v>1780</v>
      </c>
      <c r="Y110" s="112">
        <f t="shared" si="19"/>
        <v>18220</v>
      </c>
    </row>
    <row r="111" spans="1:25" ht="18" customHeight="1">
      <c r="A111" s="103" t="e">
        <f t="shared" si="21"/>
        <v>#REF!</v>
      </c>
      <c r="B111" s="117">
        <v>101824858543</v>
      </c>
      <c r="C111" s="176">
        <v>2112696150</v>
      </c>
      <c r="D111" s="176" t="s">
        <v>43</v>
      </c>
      <c r="E111" s="124" t="s">
        <v>298</v>
      </c>
      <c r="F111" s="169" t="s">
        <v>299</v>
      </c>
      <c r="G111" s="177" t="s">
        <v>300</v>
      </c>
      <c r="H111" s="109">
        <v>1183</v>
      </c>
      <c r="I111" s="122">
        <v>30</v>
      </c>
      <c r="J111" s="103">
        <v>13580</v>
      </c>
      <c r="K111" s="103">
        <v>6420</v>
      </c>
      <c r="L111" s="103">
        <v>0</v>
      </c>
      <c r="M111" s="111">
        <f t="shared" si="20"/>
        <v>20000</v>
      </c>
      <c r="N111" s="103">
        <f t="shared" si="13"/>
        <v>20000</v>
      </c>
      <c r="O111" s="104">
        <f t="shared" si="14"/>
        <v>13580</v>
      </c>
      <c r="P111" s="104">
        <f t="shared" si="15"/>
        <v>6420</v>
      </c>
      <c r="Q111" s="104">
        <f t="shared" si="16"/>
        <v>0</v>
      </c>
      <c r="R111" s="103"/>
      <c r="S111" s="112">
        <f t="shared" si="17"/>
        <v>20000</v>
      </c>
      <c r="T111" s="103">
        <f t="shared" si="22"/>
        <v>1630</v>
      </c>
      <c r="U111" s="104">
        <f t="shared" si="25"/>
        <v>150</v>
      </c>
      <c r="V111" s="174"/>
      <c r="W111" s="175"/>
      <c r="X111" s="104">
        <f t="shared" si="18"/>
        <v>1780</v>
      </c>
      <c r="Y111" s="112">
        <f t="shared" si="19"/>
        <v>18220</v>
      </c>
    </row>
    <row r="112" spans="1:25" ht="18" customHeight="1">
      <c r="A112" s="103" t="e">
        <f t="shared" si="21"/>
        <v>#REF!</v>
      </c>
      <c r="B112" s="117" t="s">
        <v>30</v>
      </c>
      <c r="C112" s="176" t="s">
        <v>30</v>
      </c>
      <c r="D112" s="176"/>
      <c r="E112" s="178" t="s">
        <v>655</v>
      </c>
      <c r="F112" s="172"/>
      <c r="G112" s="179"/>
      <c r="H112" s="140" t="s">
        <v>656</v>
      </c>
      <c r="I112" s="110">
        <v>30</v>
      </c>
      <c r="J112" s="103">
        <v>25000</v>
      </c>
      <c r="K112" s="103">
        <v>20000</v>
      </c>
      <c r="L112" s="103">
        <v>5000</v>
      </c>
      <c r="M112" s="111">
        <f t="shared" si="20"/>
        <v>50000</v>
      </c>
      <c r="N112" s="103">
        <f t="shared" si="13"/>
        <v>50000</v>
      </c>
      <c r="O112" s="104">
        <f t="shared" si="14"/>
        <v>25000</v>
      </c>
      <c r="P112" s="104">
        <f t="shared" si="15"/>
        <v>20000</v>
      </c>
      <c r="Q112" s="104">
        <f t="shared" si="16"/>
        <v>5000</v>
      </c>
      <c r="R112" s="103"/>
      <c r="S112" s="112">
        <f t="shared" si="17"/>
        <v>50000</v>
      </c>
      <c r="T112" s="173">
        <v>0</v>
      </c>
      <c r="U112" s="173">
        <v>0</v>
      </c>
      <c r="V112" s="174"/>
      <c r="W112" s="175"/>
      <c r="X112" s="104">
        <f t="shared" si="18"/>
        <v>0</v>
      </c>
      <c r="Y112" s="112">
        <f t="shared" si="19"/>
        <v>50000</v>
      </c>
    </row>
    <row r="113" spans="1:25" ht="18" customHeight="1">
      <c r="A113" s="103" t="e">
        <f>#REF!+1</f>
        <v>#REF!</v>
      </c>
      <c r="B113" s="117">
        <v>102261643810</v>
      </c>
      <c r="C113" s="176">
        <v>6725178242</v>
      </c>
      <c r="D113" s="176"/>
      <c r="E113" s="124" t="s">
        <v>304</v>
      </c>
      <c r="F113" s="169" t="s">
        <v>305</v>
      </c>
      <c r="G113" s="177" t="s">
        <v>306</v>
      </c>
      <c r="H113" s="109">
        <v>1305</v>
      </c>
      <c r="I113" s="122">
        <v>30</v>
      </c>
      <c r="J113" s="103">
        <v>13580</v>
      </c>
      <c r="K113" s="103">
        <v>6420</v>
      </c>
      <c r="L113" s="103">
        <v>0</v>
      </c>
      <c r="M113" s="111">
        <f t="shared" si="20"/>
        <v>20000</v>
      </c>
      <c r="N113" s="103">
        <f t="shared" si="13"/>
        <v>20000</v>
      </c>
      <c r="O113" s="104">
        <f t="shared" si="14"/>
        <v>13580</v>
      </c>
      <c r="P113" s="104">
        <f t="shared" si="15"/>
        <v>6420</v>
      </c>
      <c r="Q113" s="104">
        <f t="shared" si="16"/>
        <v>0</v>
      </c>
      <c r="R113" s="103"/>
      <c r="S113" s="112">
        <f t="shared" si="17"/>
        <v>20000</v>
      </c>
      <c r="T113" s="103">
        <f t="shared" ref="T113:T164" si="26">ROUND(IF(J113&gt;15000,(15000/$AA$3*I113)*12%,O113*12%)*1,0)</f>
        <v>1630</v>
      </c>
      <c r="U113" s="104">
        <f t="shared" ref="U113:U115" si="27">ROUNDUP(S113*0.75/100,0)</f>
        <v>150</v>
      </c>
      <c r="V113" s="174"/>
      <c r="W113" s="175"/>
      <c r="X113" s="104">
        <f t="shared" si="18"/>
        <v>1780</v>
      </c>
      <c r="Y113" s="112">
        <f t="shared" si="19"/>
        <v>18220</v>
      </c>
    </row>
    <row r="114" spans="1:25" ht="18" customHeight="1">
      <c r="A114" s="103" t="e">
        <f t="shared" si="21"/>
        <v>#REF!</v>
      </c>
      <c r="B114" s="117">
        <v>102252046217</v>
      </c>
      <c r="C114" s="176">
        <v>6725178314</v>
      </c>
      <c r="D114" s="176"/>
      <c r="E114" s="124" t="s">
        <v>307</v>
      </c>
      <c r="F114" s="169" t="s">
        <v>308</v>
      </c>
      <c r="G114" s="177" t="s">
        <v>309</v>
      </c>
      <c r="H114" s="109">
        <v>1297</v>
      </c>
      <c r="I114" s="122">
        <v>30</v>
      </c>
      <c r="J114" s="103">
        <v>13580</v>
      </c>
      <c r="K114" s="103">
        <v>6420</v>
      </c>
      <c r="L114" s="103">
        <v>0</v>
      </c>
      <c r="M114" s="111">
        <f t="shared" si="20"/>
        <v>20000</v>
      </c>
      <c r="N114" s="103">
        <f t="shared" si="13"/>
        <v>20000</v>
      </c>
      <c r="O114" s="104">
        <f t="shared" si="14"/>
        <v>13580</v>
      </c>
      <c r="P114" s="104">
        <f t="shared" si="15"/>
        <v>6420</v>
      </c>
      <c r="Q114" s="104">
        <f t="shared" si="16"/>
        <v>0</v>
      </c>
      <c r="R114" s="103"/>
      <c r="S114" s="112">
        <f t="shared" si="17"/>
        <v>20000</v>
      </c>
      <c r="T114" s="103">
        <f t="shared" si="26"/>
        <v>1630</v>
      </c>
      <c r="U114" s="104">
        <f t="shared" si="27"/>
        <v>150</v>
      </c>
      <c r="V114" s="174"/>
      <c r="W114" s="175"/>
      <c r="X114" s="104">
        <f t="shared" si="18"/>
        <v>1780</v>
      </c>
      <c r="Y114" s="112">
        <f t="shared" si="19"/>
        <v>18220</v>
      </c>
    </row>
    <row r="115" spans="1:25" ht="18" customHeight="1">
      <c r="A115" s="103" t="e">
        <f>#REF!+1</f>
        <v>#REF!</v>
      </c>
      <c r="B115" s="117">
        <v>101572068666</v>
      </c>
      <c r="C115" s="176">
        <v>6724973124</v>
      </c>
      <c r="D115" s="176" t="s">
        <v>43</v>
      </c>
      <c r="E115" s="124" t="s">
        <v>313</v>
      </c>
      <c r="F115" s="169" t="s">
        <v>314</v>
      </c>
      <c r="G115" s="177" t="s">
        <v>315</v>
      </c>
      <c r="H115" s="109">
        <v>1265</v>
      </c>
      <c r="I115" s="122">
        <v>30</v>
      </c>
      <c r="J115" s="103">
        <v>13580</v>
      </c>
      <c r="K115" s="103">
        <v>4420</v>
      </c>
      <c r="L115" s="103">
        <v>0</v>
      </c>
      <c r="M115" s="111">
        <f t="shared" si="20"/>
        <v>18000</v>
      </c>
      <c r="N115" s="103">
        <f t="shared" si="13"/>
        <v>18000</v>
      </c>
      <c r="O115" s="104">
        <f t="shared" si="14"/>
        <v>13580</v>
      </c>
      <c r="P115" s="104">
        <f t="shared" si="15"/>
        <v>4420</v>
      </c>
      <c r="Q115" s="104">
        <f t="shared" si="16"/>
        <v>0</v>
      </c>
      <c r="R115" s="103"/>
      <c r="S115" s="112">
        <f t="shared" si="17"/>
        <v>18000</v>
      </c>
      <c r="T115" s="103">
        <f t="shared" si="26"/>
        <v>1630</v>
      </c>
      <c r="U115" s="104">
        <f t="shared" si="27"/>
        <v>135</v>
      </c>
      <c r="V115" s="174"/>
      <c r="W115" s="175"/>
      <c r="X115" s="104">
        <f t="shared" si="18"/>
        <v>1765</v>
      </c>
      <c r="Y115" s="112">
        <f t="shared" si="19"/>
        <v>16235</v>
      </c>
    </row>
    <row r="116" spans="1:25" ht="18" customHeight="1">
      <c r="A116" s="103" t="e">
        <f t="shared" si="21"/>
        <v>#REF!</v>
      </c>
      <c r="B116" s="117">
        <v>102266370139</v>
      </c>
      <c r="C116" s="176" t="s">
        <v>30</v>
      </c>
      <c r="D116" s="176"/>
      <c r="E116" s="125" t="s">
        <v>316</v>
      </c>
      <c r="F116" s="169" t="s">
        <v>317</v>
      </c>
      <c r="G116" s="177" t="s">
        <v>318</v>
      </c>
      <c r="H116" s="109">
        <v>1291</v>
      </c>
      <c r="I116" s="122">
        <v>30</v>
      </c>
      <c r="J116" s="103">
        <v>13580</v>
      </c>
      <c r="K116" s="103">
        <v>10000</v>
      </c>
      <c r="L116" s="103">
        <v>1420</v>
      </c>
      <c r="M116" s="111">
        <f t="shared" si="20"/>
        <v>25000</v>
      </c>
      <c r="N116" s="103">
        <f t="shared" si="13"/>
        <v>25000</v>
      </c>
      <c r="O116" s="104">
        <f t="shared" si="14"/>
        <v>13580</v>
      </c>
      <c r="P116" s="104">
        <f t="shared" si="15"/>
        <v>10000</v>
      </c>
      <c r="Q116" s="104">
        <f t="shared" si="16"/>
        <v>1420</v>
      </c>
      <c r="R116" s="103"/>
      <c r="S116" s="112">
        <f t="shared" si="17"/>
        <v>25000</v>
      </c>
      <c r="T116" s="103">
        <f t="shared" si="26"/>
        <v>1630</v>
      </c>
      <c r="U116" s="173">
        <v>0</v>
      </c>
      <c r="V116" s="174"/>
      <c r="W116" s="175"/>
      <c r="X116" s="104">
        <f t="shared" si="18"/>
        <v>1630</v>
      </c>
      <c r="Y116" s="112">
        <f t="shared" si="19"/>
        <v>23370</v>
      </c>
    </row>
    <row r="117" spans="1:25" ht="18" customHeight="1">
      <c r="A117" s="103" t="e">
        <f t="shared" si="21"/>
        <v>#REF!</v>
      </c>
      <c r="B117" s="117">
        <v>101357756013</v>
      </c>
      <c r="C117" s="176">
        <v>6725178397</v>
      </c>
      <c r="D117" s="176" t="s">
        <v>43</v>
      </c>
      <c r="E117" s="124" t="s">
        <v>319</v>
      </c>
      <c r="F117" s="169" t="s">
        <v>320</v>
      </c>
      <c r="G117" s="177" t="s">
        <v>321</v>
      </c>
      <c r="H117" s="109">
        <v>1266</v>
      </c>
      <c r="I117" s="122">
        <v>30</v>
      </c>
      <c r="J117" s="103">
        <v>13580</v>
      </c>
      <c r="K117" s="103">
        <v>6420</v>
      </c>
      <c r="L117" s="103">
        <v>0</v>
      </c>
      <c r="M117" s="111">
        <f t="shared" si="20"/>
        <v>20000</v>
      </c>
      <c r="N117" s="103">
        <f t="shared" si="13"/>
        <v>20000</v>
      </c>
      <c r="O117" s="104">
        <f t="shared" si="14"/>
        <v>13580</v>
      </c>
      <c r="P117" s="104">
        <f t="shared" si="15"/>
        <v>6420</v>
      </c>
      <c r="Q117" s="104">
        <f t="shared" si="16"/>
        <v>0</v>
      </c>
      <c r="R117" s="103"/>
      <c r="S117" s="112">
        <f t="shared" si="17"/>
        <v>20000</v>
      </c>
      <c r="T117" s="103">
        <f t="shared" si="26"/>
        <v>1630</v>
      </c>
      <c r="U117" s="104">
        <f t="shared" ref="U117" si="28">ROUNDUP(S117*0.75/100,0)</f>
        <v>150</v>
      </c>
      <c r="V117" s="174"/>
      <c r="W117" s="175"/>
      <c r="X117" s="104">
        <f t="shared" si="18"/>
        <v>1780</v>
      </c>
      <c r="Y117" s="112">
        <f t="shared" si="19"/>
        <v>18220</v>
      </c>
    </row>
    <row r="118" spans="1:25" ht="18" customHeight="1">
      <c r="A118" s="103" t="e">
        <f t="shared" si="21"/>
        <v>#REF!</v>
      </c>
      <c r="B118" s="117">
        <v>102262923420</v>
      </c>
      <c r="C118" s="176">
        <v>6725178396</v>
      </c>
      <c r="D118" s="176" t="s">
        <v>43</v>
      </c>
      <c r="E118" s="124" t="s">
        <v>322</v>
      </c>
      <c r="F118" s="169" t="s">
        <v>323</v>
      </c>
      <c r="G118" s="177" t="s">
        <v>324</v>
      </c>
      <c r="H118" s="109">
        <v>1267</v>
      </c>
      <c r="I118" s="122">
        <v>30</v>
      </c>
      <c r="J118" s="103">
        <v>13580</v>
      </c>
      <c r="K118" s="103">
        <v>9600</v>
      </c>
      <c r="L118" s="103">
        <v>820</v>
      </c>
      <c r="M118" s="111">
        <f t="shared" si="20"/>
        <v>24000</v>
      </c>
      <c r="N118" s="103">
        <f t="shared" si="13"/>
        <v>24000</v>
      </c>
      <c r="O118" s="104">
        <f t="shared" si="14"/>
        <v>13580</v>
      </c>
      <c r="P118" s="104">
        <f t="shared" si="15"/>
        <v>9600</v>
      </c>
      <c r="Q118" s="104">
        <f t="shared" si="16"/>
        <v>820</v>
      </c>
      <c r="R118" s="103"/>
      <c r="S118" s="112">
        <f t="shared" si="17"/>
        <v>24000</v>
      </c>
      <c r="T118" s="103">
        <f t="shared" si="26"/>
        <v>1630</v>
      </c>
      <c r="U118" s="113">
        <v>0</v>
      </c>
      <c r="V118" s="174"/>
      <c r="W118" s="175"/>
      <c r="X118" s="104">
        <f t="shared" si="18"/>
        <v>1630</v>
      </c>
      <c r="Y118" s="112">
        <f t="shared" si="19"/>
        <v>22370</v>
      </c>
    </row>
    <row r="119" spans="1:25" ht="18" customHeight="1">
      <c r="A119" s="103" t="e">
        <f>#REF!+1</f>
        <v>#REF!</v>
      </c>
      <c r="B119" s="117">
        <v>102167826122</v>
      </c>
      <c r="C119" s="176">
        <v>6724051762</v>
      </c>
      <c r="D119" s="176" t="s">
        <v>43</v>
      </c>
      <c r="E119" s="124" t="s">
        <v>331</v>
      </c>
      <c r="F119" s="169" t="s">
        <v>332</v>
      </c>
      <c r="G119" s="177" t="s">
        <v>333</v>
      </c>
      <c r="H119" s="109">
        <v>1320</v>
      </c>
      <c r="I119" s="122">
        <v>30</v>
      </c>
      <c r="J119" s="103">
        <v>13580</v>
      </c>
      <c r="K119" s="103">
        <v>6420</v>
      </c>
      <c r="L119" s="103">
        <v>0</v>
      </c>
      <c r="M119" s="111">
        <f t="shared" si="20"/>
        <v>20000</v>
      </c>
      <c r="N119" s="103">
        <f t="shared" si="13"/>
        <v>20000</v>
      </c>
      <c r="O119" s="104">
        <f t="shared" si="14"/>
        <v>13580</v>
      </c>
      <c r="P119" s="104">
        <f t="shared" si="15"/>
        <v>6420</v>
      </c>
      <c r="Q119" s="104">
        <f t="shared" si="16"/>
        <v>0</v>
      </c>
      <c r="R119" s="103"/>
      <c r="S119" s="112">
        <f t="shared" si="17"/>
        <v>20000</v>
      </c>
      <c r="T119" s="103">
        <f t="shared" si="26"/>
        <v>1630</v>
      </c>
      <c r="U119" s="104">
        <f t="shared" ref="U119:U173" si="29">ROUNDUP(S119*0.75/100,0)</f>
        <v>150</v>
      </c>
      <c r="V119" s="174"/>
      <c r="W119" s="175"/>
      <c r="X119" s="104">
        <f t="shared" si="18"/>
        <v>1780</v>
      </c>
      <c r="Y119" s="112">
        <f t="shared" si="19"/>
        <v>18220</v>
      </c>
    </row>
    <row r="120" spans="1:25" ht="18" customHeight="1">
      <c r="A120" s="103" t="e">
        <f t="shared" si="21"/>
        <v>#REF!</v>
      </c>
      <c r="B120" s="117">
        <v>102273738940</v>
      </c>
      <c r="C120" s="176">
        <v>6725283644</v>
      </c>
      <c r="D120" s="176"/>
      <c r="E120" s="125" t="s">
        <v>334</v>
      </c>
      <c r="F120" s="169" t="s">
        <v>335</v>
      </c>
      <c r="G120" s="177" t="s">
        <v>336</v>
      </c>
      <c r="H120" s="109">
        <v>1406</v>
      </c>
      <c r="I120" s="122">
        <v>30</v>
      </c>
      <c r="J120" s="103">
        <v>13580</v>
      </c>
      <c r="K120" s="103">
        <v>4420</v>
      </c>
      <c r="L120" s="103">
        <v>0</v>
      </c>
      <c r="M120" s="111">
        <f t="shared" si="20"/>
        <v>18000</v>
      </c>
      <c r="N120" s="103">
        <f t="shared" si="13"/>
        <v>18000</v>
      </c>
      <c r="O120" s="104">
        <f t="shared" si="14"/>
        <v>13580</v>
      </c>
      <c r="P120" s="104">
        <f t="shared" si="15"/>
        <v>4420</v>
      </c>
      <c r="Q120" s="104">
        <f t="shared" si="16"/>
        <v>0</v>
      </c>
      <c r="R120" s="103"/>
      <c r="S120" s="112">
        <f t="shared" si="17"/>
        <v>18000</v>
      </c>
      <c r="T120" s="103">
        <f t="shared" si="26"/>
        <v>1630</v>
      </c>
      <c r="U120" s="104">
        <f t="shared" si="29"/>
        <v>135</v>
      </c>
      <c r="V120" s="174"/>
      <c r="W120" s="175"/>
      <c r="X120" s="104">
        <f t="shared" si="18"/>
        <v>1765</v>
      </c>
      <c r="Y120" s="112">
        <f t="shared" si="19"/>
        <v>16235</v>
      </c>
    </row>
    <row r="121" spans="1:25" ht="18" customHeight="1">
      <c r="A121" s="103" t="e">
        <f t="shared" si="21"/>
        <v>#REF!</v>
      </c>
      <c r="B121" s="117">
        <v>102273737016</v>
      </c>
      <c r="C121" s="176">
        <v>6725283683</v>
      </c>
      <c r="D121" s="176"/>
      <c r="E121" s="125" t="s">
        <v>337</v>
      </c>
      <c r="F121" s="169" t="s">
        <v>338</v>
      </c>
      <c r="G121" s="177" t="s">
        <v>339</v>
      </c>
      <c r="H121" s="109">
        <v>1407</v>
      </c>
      <c r="I121" s="122">
        <v>30</v>
      </c>
      <c r="J121" s="103">
        <v>13580</v>
      </c>
      <c r="K121" s="103">
        <v>3420</v>
      </c>
      <c r="L121" s="103">
        <v>0</v>
      </c>
      <c r="M121" s="111">
        <f t="shared" si="20"/>
        <v>17000</v>
      </c>
      <c r="N121" s="103">
        <f t="shared" si="13"/>
        <v>17000</v>
      </c>
      <c r="O121" s="104">
        <f t="shared" si="14"/>
        <v>13580</v>
      </c>
      <c r="P121" s="104">
        <f t="shared" si="15"/>
        <v>3420</v>
      </c>
      <c r="Q121" s="104">
        <f t="shared" si="16"/>
        <v>0</v>
      </c>
      <c r="R121" s="103"/>
      <c r="S121" s="112">
        <f t="shared" si="17"/>
        <v>17000</v>
      </c>
      <c r="T121" s="103">
        <f t="shared" si="26"/>
        <v>1630</v>
      </c>
      <c r="U121" s="104">
        <f t="shared" si="29"/>
        <v>128</v>
      </c>
      <c r="V121" s="174"/>
      <c r="W121" s="175"/>
      <c r="X121" s="104">
        <f t="shared" si="18"/>
        <v>1758</v>
      </c>
      <c r="Y121" s="112">
        <f t="shared" si="19"/>
        <v>15242</v>
      </c>
    </row>
    <row r="122" spans="1:25" ht="18" customHeight="1">
      <c r="A122" s="103" t="e">
        <f>#REF!+1</f>
        <v>#REF!</v>
      </c>
      <c r="B122" s="117">
        <v>102273952784</v>
      </c>
      <c r="C122" s="176">
        <v>6725283695</v>
      </c>
      <c r="D122" s="176"/>
      <c r="E122" s="125" t="s">
        <v>343</v>
      </c>
      <c r="F122" s="169" t="s">
        <v>344</v>
      </c>
      <c r="G122" s="177" t="s">
        <v>345</v>
      </c>
      <c r="H122" s="109">
        <v>1404</v>
      </c>
      <c r="I122" s="122">
        <v>30</v>
      </c>
      <c r="J122" s="103">
        <v>13580</v>
      </c>
      <c r="K122" s="103">
        <v>5420</v>
      </c>
      <c r="L122" s="103">
        <v>0</v>
      </c>
      <c r="M122" s="111">
        <f t="shared" si="20"/>
        <v>19000</v>
      </c>
      <c r="N122" s="103">
        <f t="shared" si="13"/>
        <v>19000</v>
      </c>
      <c r="O122" s="104">
        <f t="shared" si="14"/>
        <v>13580</v>
      </c>
      <c r="P122" s="104">
        <f t="shared" si="15"/>
        <v>5420</v>
      </c>
      <c r="Q122" s="104">
        <f t="shared" si="16"/>
        <v>0</v>
      </c>
      <c r="R122" s="103"/>
      <c r="S122" s="112">
        <f t="shared" si="17"/>
        <v>19000</v>
      </c>
      <c r="T122" s="103">
        <f t="shared" si="26"/>
        <v>1630</v>
      </c>
      <c r="U122" s="104">
        <f t="shared" si="29"/>
        <v>143</v>
      </c>
      <c r="V122" s="174"/>
      <c r="W122" s="175"/>
      <c r="X122" s="104">
        <f t="shared" si="18"/>
        <v>1773</v>
      </c>
      <c r="Y122" s="112">
        <f t="shared" si="19"/>
        <v>17227</v>
      </c>
    </row>
    <row r="123" spans="1:25" ht="18" customHeight="1">
      <c r="A123" s="103" t="e">
        <f t="shared" si="21"/>
        <v>#REF!</v>
      </c>
      <c r="B123" s="117">
        <v>102273738453</v>
      </c>
      <c r="C123" s="176">
        <v>6725283724</v>
      </c>
      <c r="D123" s="176"/>
      <c r="E123" s="125" t="s">
        <v>346</v>
      </c>
      <c r="F123" s="169" t="s">
        <v>347</v>
      </c>
      <c r="G123" s="177" t="s">
        <v>348</v>
      </c>
      <c r="H123" s="109">
        <v>1413</v>
      </c>
      <c r="I123" s="122">
        <v>30</v>
      </c>
      <c r="J123" s="103">
        <v>13580</v>
      </c>
      <c r="K123" s="103">
        <v>6420</v>
      </c>
      <c r="L123" s="103">
        <v>0</v>
      </c>
      <c r="M123" s="111">
        <f t="shared" si="20"/>
        <v>20000</v>
      </c>
      <c r="N123" s="103">
        <f t="shared" si="13"/>
        <v>20000</v>
      </c>
      <c r="O123" s="104">
        <f t="shared" si="14"/>
        <v>13580</v>
      </c>
      <c r="P123" s="104">
        <f t="shared" si="15"/>
        <v>6420</v>
      </c>
      <c r="Q123" s="104">
        <f t="shared" si="16"/>
        <v>0</v>
      </c>
      <c r="R123" s="103"/>
      <c r="S123" s="112">
        <f t="shared" si="17"/>
        <v>20000</v>
      </c>
      <c r="T123" s="103">
        <f t="shared" si="26"/>
        <v>1630</v>
      </c>
      <c r="U123" s="104">
        <f t="shared" si="29"/>
        <v>150</v>
      </c>
      <c r="V123" s="174"/>
      <c r="W123" s="175"/>
      <c r="X123" s="104">
        <f t="shared" si="18"/>
        <v>1780</v>
      </c>
      <c r="Y123" s="112">
        <f t="shared" si="19"/>
        <v>18220</v>
      </c>
    </row>
    <row r="124" spans="1:25" ht="18" customHeight="1">
      <c r="A124" s="103" t="e">
        <f t="shared" si="21"/>
        <v>#REF!</v>
      </c>
      <c r="B124" s="117">
        <v>102127909320</v>
      </c>
      <c r="C124" s="176" t="s">
        <v>30</v>
      </c>
      <c r="D124" s="176"/>
      <c r="E124" s="125" t="s">
        <v>349</v>
      </c>
      <c r="F124" s="169" t="s">
        <v>350</v>
      </c>
      <c r="G124" s="177" t="s">
        <v>351</v>
      </c>
      <c r="H124" s="109">
        <v>1394</v>
      </c>
      <c r="I124" s="122">
        <v>30</v>
      </c>
      <c r="J124" s="103">
        <v>13580</v>
      </c>
      <c r="K124" s="103">
        <v>9200</v>
      </c>
      <c r="L124" s="103">
        <v>220</v>
      </c>
      <c r="M124" s="111">
        <f t="shared" si="20"/>
        <v>23000</v>
      </c>
      <c r="N124" s="103">
        <f t="shared" si="13"/>
        <v>23000</v>
      </c>
      <c r="O124" s="104">
        <f t="shared" si="14"/>
        <v>13580</v>
      </c>
      <c r="P124" s="104">
        <f t="shared" si="15"/>
        <v>9200</v>
      </c>
      <c r="Q124" s="104">
        <f t="shared" si="16"/>
        <v>220</v>
      </c>
      <c r="R124" s="103"/>
      <c r="S124" s="112">
        <f t="shared" si="17"/>
        <v>23000</v>
      </c>
      <c r="T124" s="103">
        <f t="shared" si="26"/>
        <v>1630</v>
      </c>
      <c r="U124" s="173">
        <v>0</v>
      </c>
      <c r="V124" s="174"/>
      <c r="W124" s="175"/>
      <c r="X124" s="104">
        <f t="shared" si="18"/>
        <v>1630</v>
      </c>
      <c r="Y124" s="112">
        <f t="shared" si="19"/>
        <v>21370</v>
      </c>
    </row>
    <row r="125" spans="1:25" ht="18" customHeight="1">
      <c r="A125" s="103" t="e">
        <f t="shared" si="21"/>
        <v>#REF!</v>
      </c>
      <c r="B125" s="117">
        <v>102245599131</v>
      </c>
      <c r="C125" s="176" t="s">
        <v>30</v>
      </c>
      <c r="D125" s="176"/>
      <c r="E125" s="125" t="s">
        <v>352</v>
      </c>
      <c r="F125" s="169" t="s">
        <v>353</v>
      </c>
      <c r="G125" s="177" t="s">
        <v>354</v>
      </c>
      <c r="H125" s="109">
        <v>1383</v>
      </c>
      <c r="I125" s="122">
        <v>30</v>
      </c>
      <c r="J125" s="103">
        <v>14000</v>
      </c>
      <c r="K125" s="103">
        <v>11200</v>
      </c>
      <c r="L125" s="103">
        <v>2800</v>
      </c>
      <c r="M125" s="111">
        <f t="shared" si="20"/>
        <v>28000</v>
      </c>
      <c r="N125" s="103">
        <f t="shared" ref="N125:N179" si="30">M125</f>
        <v>28000</v>
      </c>
      <c r="O125" s="104">
        <f t="shared" ref="O125:O179" si="31">ROUND(J125/$AA$3*I125,0)</f>
        <v>14000</v>
      </c>
      <c r="P125" s="104">
        <f t="shared" ref="P125:P179" si="32">ROUND(K125/$AA$3*I125,0)</f>
        <v>11200</v>
      </c>
      <c r="Q125" s="104">
        <f t="shared" ref="Q125:Q179" si="33">ROUND(L125/$AA$3*I125,0)</f>
        <v>2800</v>
      </c>
      <c r="R125" s="103"/>
      <c r="S125" s="112">
        <f t="shared" ref="S125:S179" si="34">O125+P125+Q125</f>
        <v>28000</v>
      </c>
      <c r="T125" s="103">
        <f t="shared" si="26"/>
        <v>1680</v>
      </c>
      <c r="U125" s="173">
        <v>0</v>
      </c>
      <c r="V125" s="174"/>
      <c r="W125" s="175"/>
      <c r="X125" s="104">
        <f t="shared" ref="X125:X179" si="35">T125+U125+V125+W125</f>
        <v>1680</v>
      </c>
      <c r="Y125" s="112">
        <f t="shared" ref="Y125:Y179" si="36">S125-X125</f>
        <v>26320</v>
      </c>
    </row>
    <row r="126" spans="1:25" ht="18" customHeight="1">
      <c r="A126" s="103" t="e">
        <f t="shared" si="21"/>
        <v>#REF!</v>
      </c>
      <c r="B126" s="117">
        <v>102281424058</v>
      </c>
      <c r="C126" s="176">
        <v>6725330005</v>
      </c>
      <c r="D126" s="176"/>
      <c r="E126" s="125" t="s">
        <v>355</v>
      </c>
      <c r="F126" s="169" t="s">
        <v>356</v>
      </c>
      <c r="G126" s="177" t="s">
        <v>357</v>
      </c>
      <c r="H126" s="109">
        <v>1485</v>
      </c>
      <c r="I126" s="122">
        <v>28.5</v>
      </c>
      <c r="J126" s="103">
        <v>13580</v>
      </c>
      <c r="K126" s="103">
        <v>6420</v>
      </c>
      <c r="L126" s="103">
        <v>0</v>
      </c>
      <c r="M126" s="111">
        <f t="shared" ref="M126:M180" si="37">J126+K126+L126</f>
        <v>20000</v>
      </c>
      <c r="N126" s="103">
        <f t="shared" si="30"/>
        <v>20000</v>
      </c>
      <c r="O126" s="104">
        <f t="shared" si="31"/>
        <v>12901</v>
      </c>
      <c r="P126" s="104">
        <f t="shared" si="32"/>
        <v>6099</v>
      </c>
      <c r="Q126" s="104">
        <f t="shared" si="33"/>
        <v>0</v>
      </c>
      <c r="R126" s="103"/>
      <c r="S126" s="112">
        <f t="shared" si="34"/>
        <v>19000</v>
      </c>
      <c r="T126" s="103">
        <f t="shared" si="26"/>
        <v>1548</v>
      </c>
      <c r="U126" s="104">
        <f t="shared" si="29"/>
        <v>143</v>
      </c>
      <c r="V126" s="174"/>
      <c r="W126" s="175"/>
      <c r="X126" s="104">
        <f t="shared" si="35"/>
        <v>1691</v>
      </c>
      <c r="Y126" s="112">
        <f t="shared" si="36"/>
        <v>17309</v>
      </c>
    </row>
    <row r="127" spans="1:25" ht="18" customHeight="1">
      <c r="A127" s="103" t="e">
        <f>#REF!+1</f>
        <v>#REF!</v>
      </c>
      <c r="B127" s="117">
        <v>101979915848</v>
      </c>
      <c r="C127" s="176">
        <v>6723969370</v>
      </c>
      <c r="D127" s="176" t="s">
        <v>43</v>
      </c>
      <c r="E127" s="124" t="s">
        <v>364</v>
      </c>
      <c r="F127" s="169" t="s">
        <v>365</v>
      </c>
      <c r="G127" s="177" t="s">
        <v>366</v>
      </c>
      <c r="H127" s="109">
        <v>1392</v>
      </c>
      <c r="I127" s="122">
        <v>30</v>
      </c>
      <c r="J127" s="103">
        <v>13580</v>
      </c>
      <c r="K127" s="103">
        <v>4420</v>
      </c>
      <c r="L127" s="103">
        <v>0</v>
      </c>
      <c r="M127" s="111">
        <f t="shared" si="37"/>
        <v>18000</v>
      </c>
      <c r="N127" s="103">
        <f t="shared" si="30"/>
        <v>18000</v>
      </c>
      <c r="O127" s="104">
        <f t="shared" si="31"/>
        <v>13580</v>
      </c>
      <c r="P127" s="104">
        <f t="shared" si="32"/>
        <v>4420</v>
      </c>
      <c r="Q127" s="104">
        <f t="shared" si="33"/>
        <v>0</v>
      </c>
      <c r="R127" s="103"/>
      <c r="S127" s="112">
        <f t="shared" si="34"/>
        <v>18000</v>
      </c>
      <c r="T127" s="103">
        <f t="shared" si="26"/>
        <v>1630</v>
      </c>
      <c r="U127" s="104">
        <f t="shared" si="29"/>
        <v>135</v>
      </c>
      <c r="V127" s="174"/>
      <c r="W127" s="175"/>
      <c r="X127" s="104">
        <f t="shared" si="35"/>
        <v>1765</v>
      </c>
      <c r="Y127" s="112">
        <f t="shared" si="36"/>
        <v>16235</v>
      </c>
    </row>
    <row r="128" spans="1:25" ht="18" customHeight="1">
      <c r="A128" s="103" t="e">
        <f t="shared" ref="A128:A181" si="38">A127+1</f>
        <v>#REF!</v>
      </c>
      <c r="B128" s="117">
        <v>102280485682</v>
      </c>
      <c r="C128" s="176">
        <v>6725289782</v>
      </c>
      <c r="D128" s="176" t="s">
        <v>43</v>
      </c>
      <c r="E128" s="124" t="s">
        <v>367</v>
      </c>
      <c r="F128" s="169" t="s">
        <v>368</v>
      </c>
      <c r="G128" s="177" t="s">
        <v>369</v>
      </c>
      <c r="H128" s="109">
        <v>1393</v>
      </c>
      <c r="I128" s="122">
        <v>30</v>
      </c>
      <c r="J128" s="103">
        <v>13580</v>
      </c>
      <c r="K128" s="103">
        <v>4420</v>
      </c>
      <c r="L128" s="103">
        <v>0</v>
      </c>
      <c r="M128" s="111">
        <f t="shared" si="37"/>
        <v>18000</v>
      </c>
      <c r="N128" s="103">
        <f t="shared" si="30"/>
        <v>18000</v>
      </c>
      <c r="O128" s="104">
        <f t="shared" si="31"/>
        <v>13580</v>
      </c>
      <c r="P128" s="104">
        <f t="shared" si="32"/>
        <v>4420</v>
      </c>
      <c r="Q128" s="104">
        <f t="shared" si="33"/>
        <v>0</v>
      </c>
      <c r="R128" s="103"/>
      <c r="S128" s="112">
        <f t="shared" si="34"/>
        <v>18000</v>
      </c>
      <c r="T128" s="103">
        <f t="shared" si="26"/>
        <v>1630</v>
      </c>
      <c r="U128" s="104">
        <f t="shared" si="29"/>
        <v>135</v>
      </c>
      <c r="V128" s="174"/>
      <c r="W128" s="175"/>
      <c r="X128" s="104">
        <f t="shared" si="35"/>
        <v>1765</v>
      </c>
      <c r="Y128" s="112">
        <f t="shared" si="36"/>
        <v>16235</v>
      </c>
    </row>
    <row r="129" spans="1:25" ht="18" customHeight="1">
      <c r="A129" s="103" t="e">
        <f t="shared" si="38"/>
        <v>#REF!</v>
      </c>
      <c r="B129" s="117">
        <v>102284387390</v>
      </c>
      <c r="C129" s="176">
        <v>6725322609</v>
      </c>
      <c r="D129" s="176" t="s">
        <v>43</v>
      </c>
      <c r="E129" s="124" t="s">
        <v>370</v>
      </c>
      <c r="F129" s="169" t="s">
        <v>371</v>
      </c>
      <c r="G129" s="177" t="s">
        <v>100</v>
      </c>
      <c r="H129" s="109">
        <v>1402</v>
      </c>
      <c r="I129" s="122">
        <v>30</v>
      </c>
      <c r="J129" s="103">
        <v>13580</v>
      </c>
      <c r="K129" s="103">
        <v>4420</v>
      </c>
      <c r="L129" s="103">
        <v>0</v>
      </c>
      <c r="M129" s="111">
        <f t="shared" si="37"/>
        <v>18000</v>
      </c>
      <c r="N129" s="103">
        <f t="shared" si="30"/>
        <v>18000</v>
      </c>
      <c r="O129" s="104">
        <f t="shared" si="31"/>
        <v>13580</v>
      </c>
      <c r="P129" s="104">
        <f t="shared" si="32"/>
        <v>4420</v>
      </c>
      <c r="Q129" s="104">
        <f t="shared" si="33"/>
        <v>0</v>
      </c>
      <c r="R129" s="103"/>
      <c r="S129" s="112">
        <f t="shared" si="34"/>
        <v>18000</v>
      </c>
      <c r="T129" s="103">
        <f t="shared" si="26"/>
        <v>1630</v>
      </c>
      <c r="U129" s="104">
        <f t="shared" si="29"/>
        <v>135</v>
      </c>
      <c r="V129" s="174"/>
      <c r="W129" s="175"/>
      <c r="X129" s="104">
        <f t="shared" si="35"/>
        <v>1765</v>
      </c>
      <c r="Y129" s="112">
        <f t="shared" si="36"/>
        <v>16235</v>
      </c>
    </row>
    <row r="130" spans="1:25" ht="18" customHeight="1">
      <c r="A130" s="103" t="e">
        <f t="shared" si="38"/>
        <v>#REF!</v>
      </c>
      <c r="B130" s="117">
        <v>102292230604</v>
      </c>
      <c r="C130" s="176">
        <v>6725395815</v>
      </c>
      <c r="D130" s="176"/>
      <c r="E130" s="125" t="s">
        <v>372</v>
      </c>
      <c r="F130" s="169" t="s">
        <v>373</v>
      </c>
      <c r="G130" s="177" t="s">
        <v>374</v>
      </c>
      <c r="H130" s="109">
        <v>1633</v>
      </c>
      <c r="I130" s="122">
        <v>30</v>
      </c>
      <c r="J130" s="103">
        <v>13580</v>
      </c>
      <c r="K130" s="103">
        <v>6420</v>
      </c>
      <c r="L130" s="103">
        <v>0</v>
      </c>
      <c r="M130" s="111">
        <f t="shared" si="37"/>
        <v>20000</v>
      </c>
      <c r="N130" s="103">
        <f t="shared" si="30"/>
        <v>20000</v>
      </c>
      <c r="O130" s="104">
        <f t="shared" si="31"/>
        <v>13580</v>
      </c>
      <c r="P130" s="104">
        <f t="shared" si="32"/>
        <v>6420</v>
      </c>
      <c r="Q130" s="104">
        <f t="shared" si="33"/>
        <v>0</v>
      </c>
      <c r="R130" s="103"/>
      <c r="S130" s="112">
        <f t="shared" si="34"/>
        <v>20000</v>
      </c>
      <c r="T130" s="103">
        <f t="shared" si="26"/>
        <v>1630</v>
      </c>
      <c r="U130" s="104">
        <f t="shared" si="29"/>
        <v>150</v>
      </c>
      <c r="V130" s="174"/>
      <c r="W130" s="175"/>
      <c r="X130" s="104">
        <f t="shared" si="35"/>
        <v>1780</v>
      </c>
      <c r="Y130" s="112">
        <f t="shared" si="36"/>
        <v>18220</v>
      </c>
    </row>
    <row r="131" spans="1:25" ht="18" customHeight="1">
      <c r="A131" s="103" t="e">
        <f t="shared" si="38"/>
        <v>#REF!</v>
      </c>
      <c r="B131" s="117">
        <v>102292705416</v>
      </c>
      <c r="C131" s="176" t="s">
        <v>30</v>
      </c>
      <c r="D131" s="176"/>
      <c r="E131" s="125" t="s">
        <v>375</v>
      </c>
      <c r="F131" s="169" t="s">
        <v>376</v>
      </c>
      <c r="G131" s="177" t="s">
        <v>377</v>
      </c>
      <c r="H131" s="109">
        <v>1530</v>
      </c>
      <c r="I131" s="122">
        <v>29</v>
      </c>
      <c r="J131" s="103">
        <v>13580</v>
      </c>
      <c r="K131" s="103">
        <v>10000</v>
      </c>
      <c r="L131" s="103">
        <v>1420</v>
      </c>
      <c r="M131" s="111">
        <f t="shared" si="37"/>
        <v>25000</v>
      </c>
      <c r="N131" s="103">
        <f t="shared" si="30"/>
        <v>25000</v>
      </c>
      <c r="O131" s="104">
        <f t="shared" si="31"/>
        <v>13127</v>
      </c>
      <c r="P131" s="104">
        <f t="shared" si="32"/>
        <v>9667</v>
      </c>
      <c r="Q131" s="104">
        <f t="shared" si="33"/>
        <v>1373</v>
      </c>
      <c r="R131" s="103"/>
      <c r="S131" s="112">
        <f t="shared" si="34"/>
        <v>24167</v>
      </c>
      <c r="T131" s="103">
        <f t="shared" si="26"/>
        <v>1575</v>
      </c>
      <c r="U131" s="173">
        <v>0</v>
      </c>
      <c r="V131" s="174"/>
      <c r="W131" s="175"/>
      <c r="X131" s="104">
        <f t="shared" si="35"/>
        <v>1575</v>
      </c>
      <c r="Y131" s="112">
        <f t="shared" si="36"/>
        <v>22592</v>
      </c>
    </row>
    <row r="132" spans="1:25" ht="18" customHeight="1">
      <c r="A132" s="103" t="e">
        <f t="shared" si="38"/>
        <v>#REF!</v>
      </c>
      <c r="B132" s="117">
        <v>101315024432</v>
      </c>
      <c r="C132" s="176">
        <v>6725404066</v>
      </c>
      <c r="D132" s="176"/>
      <c r="E132" s="125" t="s">
        <v>378</v>
      </c>
      <c r="F132" s="169" t="s">
        <v>379</v>
      </c>
      <c r="G132" s="177" t="s">
        <v>380</v>
      </c>
      <c r="H132" s="180"/>
      <c r="I132" s="122">
        <v>30</v>
      </c>
      <c r="J132" s="103">
        <v>13000</v>
      </c>
      <c r="K132" s="103">
        <v>0</v>
      </c>
      <c r="L132" s="103">
        <v>0</v>
      </c>
      <c r="M132" s="111">
        <f t="shared" si="37"/>
        <v>13000</v>
      </c>
      <c r="N132" s="103">
        <f t="shared" si="30"/>
        <v>13000</v>
      </c>
      <c r="O132" s="104">
        <f t="shared" si="31"/>
        <v>13000</v>
      </c>
      <c r="P132" s="104">
        <f t="shared" si="32"/>
        <v>0</v>
      </c>
      <c r="Q132" s="104">
        <f t="shared" si="33"/>
        <v>0</v>
      </c>
      <c r="R132" s="103"/>
      <c r="S132" s="112">
        <f t="shared" si="34"/>
        <v>13000</v>
      </c>
      <c r="T132" s="103">
        <f t="shared" si="26"/>
        <v>1560</v>
      </c>
      <c r="U132" s="104">
        <f t="shared" si="29"/>
        <v>98</v>
      </c>
      <c r="V132" s="174"/>
      <c r="W132" s="175"/>
      <c r="X132" s="104">
        <f t="shared" si="35"/>
        <v>1658</v>
      </c>
      <c r="Y132" s="112">
        <f t="shared" si="36"/>
        <v>11342</v>
      </c>
    </row>
    <row r="133" spans="1:25" ht="18" customHeight="1">
      <c r="A133" s="103" t="e">
        <f t="shared" si="38"/>
        <v>#REF!</v>
      </c>
      <c r="B133" s="117">
        <v>102287171341</v>
      </c>
      <c r="C133" s="176">
        <v>6725353935</v>
      </c>
      <c r="D133" s="176" t="s">
        <v>43</v>
      </c>
      <c r="E133" s="125" t="s">
        <v>381</v>
      </c>
      <c r="F133" s="169" t="s">
        <v>382</v>
      </c>
      <c r="G133" s="177" t="s">
        <v>383</v>
      </c>
      <c r="H133" s="109">
        <v>1447</v>
      </c>
      <c r="I133" s="122">
        <v>23.5</v>
      </c>
      <c r="J133" s="103">
        <v>13580</v>
      </c>
      <c r="K133" s="103">
        <v>3420</v>
      </c>
      <c r="L133" s="103">
        <v>0</v>
      </c>
      <c r="M133" s="111">
        <f t="shared" si="37"/>
        <v>17000</v>
      </c>
      <c r="N133" s="103">
        <f t="shared" si="30"/>
        <v>17000</v>
      </c>
      <c r="O133" s="104">
        <f t="shared" si="31"/>
        <v>10638</v>
      </c>
      <c r="P133" s="104">
        <f t="shared" si="32"/>
        <v>2679</v>
      </c>
      <c r="Q133" s="104">
        <f t="shared" si="33"/>
        <v>0</v>
      </c>
      <c r="R133" s="103"/>
      <c r="S133" s="112">
        <f t="shared" si="34"/>
        <v>13317</v>
      </c>
      <c r="T133" s="103">
        <f t="shared" si="26"/>
        <v>1277</v>
      </c>
      <c r="U133" s="104">
        <f t="shared" si="29"/>
        <v>100</v>
      </c>
      <c r="V133" s="174"/>
      <c r="W133" s="175"/>
      <c r="X133" s="104">
        <f t="shared" si="35"/>
        <v>1377</v>
      </c>
      <c r="Y133" s="112">
        <f t="shared" si="36"/>
        <v>11940</v>
      </c>
    </row>
    <row r="134" spans="1:25" ht="18" customHeight="1">
      <c r="A134" s="103" t="e">
        <f t="shared" si="38"/>
        <v>#REF!</v>
      </c>
      <c r="B134" s="117">
        <v>102287174397</v>
      </c>
      <c r="C134" s="176">
        <v>6724527976</v>
      </c>
      <c r="D134" s="176" t="s">
        <v>43</v>
      </c>
      <c r="E134" s="125" t="s">
        <v>384</v>
      </c>
      <c r="F134" s="169" t="s">
        <v>385</v>
      </c>
      <c r="G134" s="177" t="s">
        <v>386</v>
      </c>
      <c r="H134" s="109">
        <v>1446</v>
      </c>
      <c r="I134" s="122">
        <v>30</v>
      </c>
      <c r="J134" s="103">
        <v>13580</v>
      </c>
      <c r="K134" s="103">
        <v>3420</v>
      </c>
      <c r="L134" s="103">
        <v>0</v>
      </c>
      <c r="M134" s="111">
        <f t="shared" si="37"/>
        <v>17000</v>
      </c>
      <c r="N134" s="103">
        <f t="shared" si="30"/>
        <v>17000</v>
      </c>
      <c r="O134" s="104">
        <f t="shared" si="31"/>
        <v>13580</v>
      </c>
      <c r="P134" s="104">
        <f t="shared" si="32"/>
        <v>3420</v>
      </c>
      <c r="Q134" s="104">
        <f t="shared" si="33"/>
        <v>0</v>
      </c>
      <c r="R134" s="103"/>
      <c r="S134" s="112">
        <f t="shared" si="34"/>
        <v>17000</v>
      </c>
      <c r="T134" s="103">
        <f t="shared" si="26"/>
        <v>1630</v>
      </c>
      <c r="U134" s="104">
        <f t="shared" si="29"/>
        <v>128</v>
      </c>
      <c r="V134" s="174"/>
      <c r="W134" s="175"/>
      <c r="X134" s="104">
        <f t="shared" si="35"/>
        <v>1758</v>
      </c>
      <c r="Y134" s="112">
        <f t="shared" si="36"/>
        <v>15242</v>
      </c>
    </row>
    <row r="135" spans="1:25" ht="18" customHeight="1">
      <c r="A135" s="103" t="e">
        <f>#REF!+1</f>
        <v>#REF!</v>
      </c>
      <c r="B135" s="117">
        <v>102305571378</v>
      </c>
      <c r="C135" s="176" t="s">
        <v>30</v>
      </c>
      <c r="D135" s="176"/>
      <c r="E135" s="125" t="s">
        <v>390</v>
      </c>
      <c r="F135" s="169" t="s">
        <v>391</v>
      </c>
      <c r="G135" s="177" t="s">
        <v>392</v>
      </c>
      <c r="H135" s="109">
        <v>1536</v>
      </c>
      <c r="I135" s="122">
        <v>29</v>
      </c>
      <c r="J135" s="103">
        <v>13580</v>
      </c>
      <c r="K135" s="103">
        <v>9136</v>
      </c>
      <c r="L135" s="103">
        <v>2284</v>
      </c>
      <c r="M135" s="111">
        <f t="shared" si="37"/>
        <v>25000</v>
      </c>
      <c r="N135" s="103">
        <f t="shared" si="30"/>
        <v>25000</v>
      </c>
      <c r="O135" s="104">
        <f t="shared" si="31"/>
        <v>13127</v>
      </c>
      <c r="P135" s="104">
        <f t="shared" si="32"/>
        <v>8831</v>
      </c>
      <c r="Q135" s="104">
        <f t="shared" si="33"/>
        <v>2208</v>
      </c>
      <c r="R135" s="103"/>
      <c r="S135" s="112">
        <f t="shared" si="34"/>
        <v>24166</v>
      </c>
      <c r="T135" s="103">
        <f t="shared" si="26"/>
        <v>1575</v>
      </c>
      <c r="U135" s="173">
        <v>0</v>
      </c>
      <c r="V135" s="174"/>
      <c r="W135" s="175"/>
      <c r="X135" s="104">
        <f t="shared" si="35"/>
        <v>1575</v>
      </c>
      <c r="Y135" s="112">
        <f t="shared" si="36"/>
        <v>22591</v>
      </c>
    </row>
    <row r="136" spans="1:25" ht="18" customHeight="1">
      <c r="A136" s="103" t="e">
        <f t="shared" si="38"/>
        <v>#REF!</v>
      </c>
      <c r="B136" s="117">
        <v>102305571559</v>
      </c>
      <c r="C136" s="176">
        <v>6725431544</v>
      </c>
      <c r="D136" s="176"/>
      <c r="E136" s="125" t="s">
        <v>393</v>
      </c>
      <c r="F136" s="169" t="s">
        <v>394</v>
      </c>
      <c r="G136" s="177" t="s">
        <v>395</v>
      </c>
      <c r="H136" s="109">
        <v>1538</v>
      </c>
      <c r="I136" s="122">
        <v>30</v>
      </c>
      <c r="J136" s="103">
        <v>13580</v>
      </c>
      <c r="K136" s="103">
        <v>3536</v>
      </c>
      <c r="L136" s="103">
        <v>884</v>
      </c>
      <c r="M136" s="111">
        <f t="shared" si="37"/>
        <v>18000</v>
      </c>
      <c r="N136" s="103">
        <f t="shared" si="30"/>
        <v>18000</v>
      </c>
      <c r="O136" s="104">
        <f t="shared" si="31"/>
        <v>13580</v>
      </c>
      <c r="P136" s="104">
        <f t="shared" si="32"/>
        <v>3536</v>
      </c>
      <c r="Q136" s="104">
        <f t="shared" si="33"/>
        <v>884</v>
      </c>
      <c r="R136" s="103"/>
      <c r="S136" s="112">
        <f t="shared" si="34"/>
        <v>18000</v>
      </c>
      <c r="T136" s="103">
        <f t="shared" si="26"/>
        <v>1630</v>
      </c>
      <c r="U136" s="104">
        <f t="shared" si="29"/>
        <v>135</v>
      </c>
      <c r="V136" s="174"/>
      <c r="W136" s="175"/>
      <c r="X136" s="104">
        <f t="shared" si="35"/>
        <v>1765</v>
      </c>
      <c r="Y136" s="112">
        <f t="shared" si="36"/>
        <v>16235</v>
      </c>
    </row>
    <row r="137" spans="1:25" ht="18" customHeight="1">
      <c r="A137" s="103" t="e">
        <f t="shared" si="38"/>
        <v>#REF!</v>
      </c>
      <c r="B137" s="117">
        <v>102300379867</v>
      </c>
      <c r="C137" s="176">
        <v>6725444558</v>
      </c>
      <c r="D137" s="176"/>
      <c r="E137" s="125" t="s">
        <v>396</v>
      </c>
      <c r="F137" s="169" t="s">
        <v>397</v>
      </c>
      <c r="G137" s="177" t="s">
        <v>398</v>
      </c>
      <c r="H137" s="109">
        <v>1645</v>
      </c>
      <c r="I137" s="122">
        <v>29.5</v>
      </c>
      <c r="J137" s="103">
        <v>13580</v>
      </c>
      <c r="K137" s="103">
        <v>5136</v>
      </c>
      <c r="L137" s="103">
        <v>1284</v>
      </c>
      <c r="M137" s="111">
        <f t="shared" si="37"/>
        <v>20000</v>
      </c>
      <c r="N137" s="103">
        <f t="shared" si="30"/>
        <v>20000</v>
      </c>
      <c r="O137" s="104">
        <f t="shared" si="31"/>
        <v>13354</v>
      </c>
      <c r="P137" s="104">
        <f t="shared" si="32"/>
        <v>5050</v>
      </c>
      <c r="Q137" s="104">
        <f t="shared" si="33"/>
        <v>1263</v>
      </c>
      <c r="R137" s="103"/>
      <c r="S137" s="112">
        <f t="shared" si="34"/>
        <v>19667</v>
      </c>
      <c r="T137" s="103">
        <f t="shared" si="26"/>
        <v>1602</v>
      </c>
      <c r="U137" s="104">
        <f t="shared" si="29"/>
        <v>148</v>
      </c>
      <c r="V137" s="174"/>
      <c r="W137" s="175"/>
      <c r="X137" s="104">
        <f t="shared" si="35"/>
        <v>1750</v>
      </c>
      <c r="Y137" s="112">
        <f t="shared" si="36"/>
        <v>17917</v>
      </c>
    </row>
    <row r="138" spans="1:25" ht="18" customHeight="1">
      <c r="A138" s="103" t="e">
        <f t="shared" si="38"/>
        <v>#REF!</v>
      </c>
      <c r="B138" s="117">
        <v>101883750314</v>
      </c>
      <c r="C138" s="176" t="s">
        <v>30</v>
      </c>
      <c r="D138" s="176"/>
      <c r="E138" s="125" t="s">
        <v>399</v>
      </c>
      <c r="F138" s="169" t="s">
        <v>400</v>
      </c>
      <c r="G138" s="177" t="s">
        <v>401</v>
      </c>
      <c r="H138" s="109">
        <v>1647</v>
      </c>
      <c r="I138" s="122">
        <v>30</v>
      </c>
      <c r="J138" s="103">
        <v>13580</v>
      </c>
      <c r="K138" s="103">
        <v>8336</v>
      </c>
      <c r="L138" s="103">
        <v>2084</v>
      </c>
      <c r="M138" s="111">
        <f t="shared" si="37"/>
        <v>24000</v>
      </c>
      <c r="N138" s="103">
        <f t="shared" si="30"/>
        <v>24000</v>
      </c>
      <c r="O138" s="104">
        <f t="shared" si="31"/>
        <v>13580</v>
      </c>
      <c r="P138" s="104">
        <f t="shared" si="32"/>
        <v>8336</v>
      </c>
      <c r="Q138" s="104">
        <f t="shared" si="33"/>
        <v>2084</v>
      </c>
      <c r="R138" s="103"/>
      <c r="S138" s="112">
        <f t="shared" si="34"/>
        <v>24000</v>
      </c>
      <c r="T138" s="103">
        <f t="shared" si="26"/>
        <v>1630</v>
      </c>
      <c r="U138" s="173">
        <v>0</v>
      </c>
      <c r="V138" s="174"/>
      <c r="W138" s="175"/>
      <c r="X138" s="104">
        <f t="shared" si="35"/>
        <v>1630</v>
      </c>
      <c r="Y138" s="112">
        <f t="shared" si="36"/>
        <v>22370</v>
      </c>
    </row>
    <row r="139" spans="1:25" ht="18" customHeight="1">
      <c r="A139" s="103" t="e">
        <f t="shared" si="38"/>
        <v>#REF!</v>
      </c>
      <c r="B139" s="117">
        <v>102300380470</v>
      </c>
      <c r="C139" s="176">
        <v>6725444579</v>
      </c>
      <c r="D139" s="176"/>
      <c r="E139" s="125" t="s">
        <v>402</v>
      </c>
      <c r="F139" s="169" t="s">
        <v>403</v>
      </c>
      <c r="G139" s="177" t="s">
        <v>404</v>
      </c>
      <c r="H139" s="109">
        <v>1648</v>
      </c>
      <c r="I139" s="122">
        <v>30</v>
      </c>
      <c r="J139" s="103">
        <v>13580</v>
      </c>
      <c r="K139" s="103">
        <v>5136</v>
      </c>
      <c r="L139" s="103">
        <v>1284</v>
      </c>
      <c r="M139" s="111">
        <f t="shared" si="37"/>
        <v>20000</v>
      </c>
      <c r="N139" s="103">
        <f t="shared" si="30"/>
        <v>20000</v>
      </c>
      <c r="O139" s="104">
        <f t="shared" si="31"/>
        <v>13580</v>
      </c>
      <c r="P139" s="104">
        <f t="shared" si="32"/>
        <v>5136</v>
      </c>
      <c r="Q139" s="104">
        <f t="shared" si="33"/>
        <v>1284</v>
      </c>
      <c r="R139" s="103"/>
      <c r="S139" s="112">
        <f t="shared" si="34"/>
        <v>20000</v>
      </c>
      <c r="T139" s="103">
        <f t="shared" si="26"/>
        <v>1630</v>
      </c>
      <c r="U139" s="104">
        <f t="shared" si="29"/>
        <v>150</v>
      </c>
      <c r="V139" s="174"/>
      <c r="W139" s="175"/>
      <c r="X139" s="104">
        <f t="shared" si="35"/>
        <v>1780</v>
      </c>
      <c r="Y139" s="112">
        <f t="shared" si="36"/>
        <v>18220</v>
      </c>
    </row>
    <row r="140" spans="1:25" ht="18" customHeight="1">
      <c r="A140" s="103" t="e">
        <f t="shared" si="38"/>
        <v>#REF!</v>
      </c>
      <c r="B140" s="117">
        <v>102300380732</v>
      </c>
      <c r="C140" s="176">
        <v>6725444591</v>
      </c>
      <c r="D140" s="176"/>
      <c r="E140" s="125" t="s">
        <v>405</v>
      </c>
      <c r="F140" s="169" t="s">
        <v>406</v>
      </c>
      <c r="G140" s="177" t="s">
        <v>407</v>
      </c>
      <c r="H140" s="109">
        <v>1650</v>
      </c>
      <c r="I140" s="122">
        <v>30</v>
      </c>
      <c r="J140" s="103">
        <v>13580</v>
      </c>
      <c r="K140" s="103">
        <v>5136</v>
      </c>
      <c r="L140" s="103">
        <v>1284</v>
      </c>
      <c r="M140" s="111">
        <f t="shared" si="37"/>
        <v>20000</v>
      </c>
      <c r="N140" s="103">
        <f t="shared" si="30"/>
        <v>20000</v>
      </c>
      <c r="O140" s="104">
        <f t="shared" si="31"/>
        <v>13580</v>
      </c>
      <c r="P140" s="104">
        <f t="shared" si="32"/>
        <v>5136</v>
      </c>
      <c r="Q140" s="104">
        <f t="shared" si="33"/>
        <v>1284</v>
      </c>
      <c r="R140" s="103"/>
      <c r="S140" s="112">
        <f t="shared" si="34"/>
        <v>20000</v>
      </c>
      <c r="T140" s="103">
        <f t="shared" si="26"/>
        <v>1630</v>
      </c>
      <c r="U140" s="104">
        <f t="shared" si="29"/>
        <v>150</v>
      </c>
      <c r="V140" s="174"/>
      <c r="W140" s="175"/>
      <c r="X140" s="104">
        <f t="shared" si="35"/>
        <v>1780</v>
      </c>
      <c r="Y140" s="112">
        <f t="shared" si="36"/>
        <v>18220</v>
      </c>
    </row>
    <row r="141" spans="1:25" ht="18" customHeight="1">
      <c r="A141" s="103" t="e">
        <f t="shared" si="38"/>
        <v>#REF!</v>
      </c>
      <c r="B141" s="117">
        <v>102300383898</v>
      </c>
      <c r="C141" s="176">
        <v>6725444595</v>
      </c>
      <c r="D141" s="176"/>
      <c r="E141" s="125" t="s">
        <v>408</v>
      </c>
      <c r="F141" s="169" t="s">
        <v>409</v>
      </c>
      <c r="G141" s="177" t="s">
        <v>410</v>
      </c>
      <c r="H141" s="109">
        <v>1651</v>
      </c>
      <c r="I141" s="122">
        <v>30</v>
      </c>
      <c r="J141" s="103">
        <v>13580</v>
      </c>
      <c r="K141" s="103">
        <v>5136</v>
      </c>
      <c r="L141" s="103">
        <v>1284</v>
      </c>
      <c r="M141" s="111">
        <f t="shared" si="37"/>
        <v>20000</v>
      </c>
      <c r="N141" s="103">
        <f t="shared" si="30"/>
        <v>20000</v>
      </c>
      <c r="O141" s="104">
        <f t="shared" si="31"/>
        <v>13580</v>
      </c>
      <c r="P141" s="104">
        <f t="shared" si="32"/>
        <v>5136</v>
      </c>
      <c r="Q141" s="104">
        <f t="shared" si="33"/>
        <v>1284</v>
      </c>
      <c r="R141" s="103"/>
      <c r="S141" s="112">
        <f t="shared" si="34"/>
        <v>20000</v>
      </c>
      <c r="T141" s="103">
        <f t="shared" si="26"/>
        <v>1630</v>
      </c>
      <c r="U141" s="104">
        <f t="shared" si="29"/>
        <v>150</v>
      </c>
      <c r="V141" s="174"/>
      <c r="W141" s="175"/>
      <c r="X141" s="104">
        <f t="shared" si="35"/>
        <v>1780</v>
      </c>
      <c r="Y141" s="112">
        <f t="shared" si="36"/>
        <v>18220</v>
      </c>
    </row>
    <row r="142" spans="1:25" ht="18" customHeight="1">
      <c r="A142" s="103" t="e">
        <f t="shared" si="38"/>
        <v>#REF!</v>
      </c>
      <c r="B142" s="117">
        <v>102300384578</v>
      </c>
      <c r="C142" s="176">
        <v>6725444597</v>
      </c>
      <c r="D142" s="176"/>
      <c r="E142" s="125" t="s">
        <v>411</v>
      </c>
      <c r="F142" s="169" t="s">
        <v>412</v>
      </c>
      <c r="G142" s="177" t="s">
        <v>413</v>
      </c>
      <c r="H142" s="109">
        <v>1652</v>
      </c>
      <c r="I142" s="122">
        <v>30</v>
      </c>
      <c r="J142" s="103">
        <v>13580</v>
      </c>
      <c r="K142" s="103">
        <v>5136</v>
      </c>
      <c r="L142" s="103">
        <v>1284</v>
      </c>
      <c r="M142" s="111">
        <f t="shared" si="37"/>
        <v>20000</v>
      </c>
      <c r="N142" s="103">
        <f t="shared" si="30"/>
        <v>20000</v>
      </c>
      <c r="O142" s="104">
        <f t="shared" si="31"/>
        <v>13580</v>
      </c>
      <c r="P142" s="104">
        <f t="shared" si="32"/>
        <v>5136</v>
      </c>
      <c r="Q142" s="104">
        <f t="shared" si="33"/>
        <v>1284</v>
      </c>
      <c r="R142" s="103"/>
      <c r="S142" s="112">
        <f t="shared" si="34"/>
        <v>20000</v>
      </c>
      <c r="T142" s="103">
        <f t="shared" si="26"/>
        <v>1630</v>
      </c>
      <c r="U142" s="104">
        <f t="shared" si="29"/>
        <v>150</v>
      </c>
      <c r="V142" s="174"/>
      <c r="W142" s="175"/>
      <c r="X142" s="104">
        <f t="shared" si="35"/>
        <v>1780</v>
      </c>
      <c r="Y142" s="112">
        <f t="shared" si="36"/>
        <v>18220</v>
      </c>
    </row>
    <row r="143" spans="1:25" ht="18" customHeight="1">
      <c r="A143" s="103" t="e">
        <f t="shared" si="38"/>
        <v>#REF!</v>
      </c>
      <c r="B143" s="117">
        <v>102300383592</v>
      </c>
      <c r="C143" s="176">
        <v>6725444599</v>
      </c>
      <c r="D143" s="176"/>
      <c r="E143" s="125" t="s">
        <v>414</v>
      </c>
      <c r="F143" s="169" t="s">
        <v>415</v>
      </c>
      <c r="G143" s="177" t="s">
        <v>416</v>
      </c>
      <c r="H143" s="109">
        <v>1653</v>
      </c>
      <c r="I143" s="122">
        <v>30</v>
      </c>
      <c r="J143" s="103">
        <v>13580</v>
      </c>
      <c r="K143" s="103">
        <v>4336</v>
      </c>
      <c r="L143" s="103">
        <v>1084</v>
      </c>
      <c r="M143" s="111">
        <f t="shared" si="37"/>
        <v>19000</v>
      </c>
      <c r="N143" s="103">
        <f t="shared" si="30"/>
        <v>19000</v>
      </c>
      <c r="O143" s="104">
        <f t="shared" si="31"/>
        <v>13580</v>
      </c>
      <c r="P143" s="104">
        <f t="shared" si="32"/>
        <v>4336</v>
      </c>
      <c r="Q143" s="104">
        <f t="shared" si="33"/>
        <v>1084</v>
      </c>
      <c r="R143" s="103"/>
      <c r="S143" s="112">
        <f t="shared" si="34"/>
        <v>19000</v>
      </c>
      <c r="T143" s="103">
        <f t="shared" si="26"/>
        <v>1630</v>
      </c>
      <c r="U143" s="104">
        <f t="shared" si="29"/>
        <v>143</v>
      </c>
      <c r="V143" s="174"/>
      <c r="W143" s="175"/>
      <c r="X143" s="104">
        <f t="shared" si="35"/>
        <v>1773</v>
      </c>
      <c r="Y143" s="112">
        <f t="shared" si="36"/>
        <v>17227</v>
      </c>
    </row>
    <row r="144" spans="1:25" ht="18" customHeight="1">
      <c r="A144" s="103" t="e">
        <f>#REF!+1</f>
        <v>#REF!</v>
      </c>
      <c r="B144" s="117">
        <v>102016975367</v>
      </c>
      <c r="C144" s="176">
        <v>6725444608</v>
      </c>
      <c r="D144" s="176"/>
      <c r="E144" s="125" t="s">
        <v>420</v>
      </c>
      <c r="F144" s="169" t="s">
        <v>421</v>
      </c>
      <c r="G144" s="177" t="s">
        <v>422</v>
      </c>
      <c r="H144" s="109">
        <v>1656</v>
      </c>
      <c r="I144" s="122">
        <v>30</v>
      </c>
      <c r="J144" s="103">
        <v>13580</v>
      </c>
      <c r="K144" s="103">
        <v>5136</v>
      </c>
      <c r="L144" s="103">
        <v>1284</v>
      </c>
      <c r="M144" s="111">
        <f t="shared" si="37"/>
        <v>20000</v>
      </c>
      <c r="N144" s="103">
        <f t="shared" si="30"/>
        <v>20000</v>
      </c>
      <c r="O144" s="104">
        <f t="shared" si="31"/>
        <v>13580</v>
      </c>
      <c r="P144" s="104">
        <f t="shared" si="32"/>
        <v>5136</v>
      </c>
      <c r="Q144" s="104">
        <f t="shared" si="33"/>
        <v>1284</v>
      </c>
      <c r="R144" s="103"/>
      <c r="S144" s="112">
        <f t="shared" si="34"/>
        <v>20000</v>
      </c>
      <c r="T144" s="103">
        <f t="shared" si="26"/>
        <v>1630</v>
      </c>
      <c r="U144" s="104">
        <f t="shared" si="29"/>
        <v>150</v>
      </c>
      <c r="V144" s="174"/>
      <c r="W144" s="175"/>
      <c r="X144" s="104">
        <f t="shared" si="35"/>
        <v>1780</v>
      </c>
      <c r="Y144" s="112">
        <f t="shared" si="36"/>
        <v>18220</v>
      </c>
    </row>
    <row r="145" spans="1:25" ht="18" customHeight="1">
      <c r="A145" s="103" t="e">
        <f t="shared" si="38"/>
        <v>#REF!</v>
      </c>
      <c r="B145" s="117">
        <v>102308508054</v>
      </c>
      <c r="C145" s="176" t="s">
        <v>30</v>
      </c>
      <c r="D145" s="176"/>
      <c r="E145" s="125" t="s">
        <v>423</v>
      </c>
      <c r="F145" s="169" t="s">
        <v>424</v>
      </c>
      <c r="G145" s="177" t="s">
        <v>425</v>
      </c>
      <c r="H145" s="109">
        <v>1658</v>
      </c>
      <c r="I145" s="122">
        <v>30</v>
      </c>
      <c r="J145" s="103">
        <v>13580</v>
      </c>
      <c r="K145" s="103">
        <v>8336</v>
      </c>
      <c r="L145" s="103">
        <v>2084</v>
      </c>
      <c r="M145" s="111">
        <f t="shared" si="37"/>
        <v>24000</v>
      </c>
      <c r="N145" s="103">
        <f t="shared" si="30"/>
        <v>24000</v>
      </c>
      <c r="O145" s="104">
        <f t="shared" si="31"/>
        <v>13580</v>
      </c>
      <c r="P145" s="104">
        <f t="shared" si="32"/>
        <v>8336</v>
      </c>
      <c r="Q145" s="104">
        <f t="shared" si="33"/>
        <v>2084</v>
      </c>
      <c r="R145" s="103"/>
      <c r="S145" s="112">
        <f t="shared" si="34"/>
        <v>24000</v>
      </c>
      <c r="T145" s="103">
        <f t="shared" si="26"/>
        <v>1630</v>
      </c>
      <c r="U145" s="173">
        <v>0</v>
      </c>
      <c r="V145" s="174"/>
      <c r="W145" s="175"/>
      <c r="X145" s="104">
        <f t="shared" si="35"/>
        <v>1630</v>
      </c>
      <c r="Y145" s="112">
        <f t="shared" si="36"/>
        <v>22370</v>
      </c>
    </row>
    <row r="146" spans="1:25" ht="18" customHeight="1">
      <c r="A146" s="103" t="e">
        <f t="shared" si="38"/>
        <v>#REF!</v>
      </c>
      <c r="B146" s="117">
        <v>101985876288</v>
      </c>
      <c r="C146" s="176">
        <v>6725455434</v>
      </c>
      <c r="D146" s="176"/>
      <c r="E146" s="125" t="s">
        <v>426</v>
      </c>
      <c r="F146" s="169" t="s">
        <v>427</v>
      </c>
      <c r="G146" s="177" t="s">
        <v>428</v>
      </c>
      <c r="H146" s="109">
        <v>1657</v>
      </c>
      <c r="I146" s="122">
        <v>30</v>
      </c>
      <c r="J146" s="103">
        <v>13580</v>
      </c>
      <c r="K146" s="103">
        <v>5136</v>
      </c>
      <c r="L146" s="103">
        <v>1284</v>
      </c>
      <c r="M146" s="111">
        <f t="shared" si="37"/>
        <v>20000</v>
      </c>
      <c r="N146" s="103">
        <f t="shared" si="30"/>
        <v>20000</v>
      </c>
      <c r="O146" s="104">
        <f t="shared" si="31"/>
        <v>13580</v>
      </c>
      <c r="P146" s="104">
        <f t="shared" si="32"/>
        <v>5136</v>
      </c>
      <c r="Q146" s="104">
        <f t="shared" si="33"/>
        <v>1284</v>
      </c>
      <c r="R146" s="103"/>
      <c r="S146" s="112">
        <f t="shared" si="34"/>
        <v>20000</v>
      </c>
      <c r="T146" s="103">
        <f t="shared" si="26"/>
        <v>1630</v>
      </c>
      <c r="U146" s="104">
        <f t="shared" si="29"/>
        <v>150</v>
      </c>
      <c r="V146" s="174"/>
      <c r="W146" s="175"/>
      <c r="X146" s="104">
        <f t="shared" si="35"/>
        <v>1780</v>
      </c>
      <c r="Y146" s="112">
        <f t="shared" si="36"/>
        <v>18220</v>
      </c>
    </row>
    <row r="147" spans="1:25" ht="18" customHeight="1">
      <c r="A147" s="103" t="e">
        <f>#REF!+1</f>
        <v>#REF!</v>
      </c>
      <c r="B147" s="117">
        <v>102304538764</v>
      </c>
      <c r="C147" s="176">
        <v>6725452206</v>
      </c>
      <c r="D147" s="176" t="s">
        <v>43</v>
      </c>
      <c r="E147" s="125" t="s">
        <v>433</v>
      </c>
      <c r="F147" s="169" t="s">
        <v>434</v>
      </c>
      <c r="G147" s="177" t="s">
        <v>435</v>
      </c>
      <c r="H147" s="109">
        <v>1601</v>
      </c>
      <c r="I147" s="122">
        <v>30</v>
      </c>
      <c r="J147" s="103">
        <v>13580</v>
      </c>
      <c r="K147" s="103">
        <v>5136</v>
      </c>
      <c r="L147" s="103">
        <v>1284</v>
      </c>
      <c r="M147" s="111">
        <f t="shared" si="37"/>
        <v>20000</v>
      </c>
      <c r="N147" s="103">
        <f t="shared" si="30"/>
        <v>20000</v>
      </c>
      <c r="O147" s="104">
        <f t="shared" si="31"/>
        <v>13580</v>
      </c>
      <c r="P147" s="104">
        <f t="shared" si="32"/>
        <v>5136</v>
      </c>
      <c r="Q147" s="104">
        <f t="shared" si="33"/>
        <v>1284</v>
      </c>
      <c r="R147" s="103"/>
      <c r="S147" s="112">
        <f t="shared" si="34"/>
        <v>20000</v>
      </c>
      <c r="T147" s="103">
        <f t="shared" si="26"/>
        <v>1630</v>
      </c>
      <c r="U147" s="104">
        <f t="shared" si="29"/>
        <v>150</v>
      </c>
      <c r="V147" s="174"/>
      <c r="W147" s="175"/>
      <c r="X147" s="104">
        <f t="shared" si="35"/>
        <v>1780</v>
      </c>
      <c r="Y147" s="112">
        <f t="shared" si="36"/>
        <v>18220</v>
      </c>
    </row>
    <row r="148" spans="1:25" ht="18" customHeight="1">
      <c r="A148" s="103" t="e">
        <f t="shared" si="38"/>
        <v>#REF!</v>
      </c>
      <c r="B148" s="117">
        <v>102304506795</v>
      </c>
      <c r="C148" s="176">
        <v>6725451278</v>
      </c>
      <c r="D148" s="176" t="s">
        <v>43</v>
      </c>
      <c r="E148" s="125" t="s">
        <v>436</v>
      </c>
      <c r="F148" s="169" t="s">
        <v>437</v>
      </c>
      <c r="G148" s="177" t="s">
        <v>438</v>
      </c>
      <c r="H148" s="109">
        <v>1578</v>
      </c>
      <c r="I148" s="122">
        <v>30</v>
      </c>
      <c r="J148" s="103">
        <v>13580</v>
      </c>
      <c r="K148" s="103">
        <v>1136</v>
      </c>
      <c r="L148" s="103">
        <v>284</v>
      </c>
      <c r="M148" s="111">
        <f t="shared" si="37"/>
        <v>15000</v>
      </c>
      <c r="N148" s="103">
        <f t="shared" si="30"/>
        <v>15000</v>
      </c>
      <c r="O148" s="104">
        <f t="shared" si="31"/>
        <v>13580</v>
      </c>
      <c r="P148" s="104">
        <f t="shared" si="32"/>
        <v>1136</v>
      </c>
      <c r="Q148" s="104">
        <f t="shared" si="33"/>
        <v>284</v>
      </c>
      <c r="R148" s="103"/>
      <c r="S148" s="112">
        <f t="shared" si="34"/>
        <v>15000</v>
      </c>
      <c r="T148" s="103">
        <f t="shared" si="26"/>
        <v>1630</v>
      </c>
      <c r="U148" s="104">
        <f t="shared" si="29"/>
        <v>113</v>
      </c>
      <c r="V148" s="174"/>
      <c r="W148" s="175"/>
      <c r="X148" s="104">
        <f t="shared" si="35"/>
        <v>1743</v>
      </c>
      <c r="Y148" s="112">
        <f t="shared" si="36"/>
        <v>13257</v>
      </c>
    </row>
    <row r="149" spans="1:25" ht="18" customHeight="1">
      <c r="A149" s="103" t="e">
        <f t="shared" si="38"/>
        <v>#REF!</v>
      </c>
      <c r="B149" s="117">
        <v>102304501738</v>
      </c>
      <c r="C149" s="176">
        <v>6725451413</v>
      </c>
      <c r="D149" s="176" t="s">
        <v>43</v>
      </c>
      <c r="E149" s="125" t="s">
        <v>439</v>
      </c>
      <c r="F149" s="169" t="s">
        <v>440</v>
      </c>
      <c r="G149" s="177" t="s">
        <v>441</v>
      </c>
      <c r="H149" s="109">
        <v>1584</v>
      </c>
      <c r="I149" s="122">
        <v>30</v>
      </c>
      <c r="J149" s="103">
        <v>13580</v>
      </c>
      <c r="K149" s="103">
        <v>1136</v>
      </c>
      <c r="L149" s="103">
        <v>284</v>
      </c>
      <c r="M149" s="111">
        <f t="shared" si="37"/>
        <v>15000</v>
      </c>
      <c r="N149" s="103">
        <f t="shared" si="30"/>
        <v>15000</v>
      </c>
      <c r="O149" s="104">
        <f t="shared" si="31"/>
        <v>13580</v>
      </c>
      <c r="P149" s="104">
        <f t="shared" si="32"/>
        <v>1136</v>
      </c>
      <c r="Q149" s="104">
        <f t="shared" si="33"/>
        <v>284</v>
      </c>
      <c r="R149" s="103"/>
      <c r="S149" s="112">
        <f t="shared" si="34"/>
        <v>15000</v>
      </c>
      <c r="T149" s="103">
        <f t="shared" si="26"/>
        <v>1630</v>
      </c>
      <c r="U149" s="104">
        <f t="shared" si="29"/>
        <v>113</v>
      </c>
      <c r="V149" s="174"/>
      <c r="W149" s="175"/>
      <c r="X149" s="104">
        <f t="shared" si="35"/>
        <v>1743</v>
      </c>
      <c r="Y149" s="112">
        <f t="shared" si="36"/>
        <v>13257</v>
      </c>
    </row>
    <row r="150" spans="1:25" ht="18" customHeight="1">
      <c r="A150" s="103" t="e">
        <f t="shared" si="38"/>
        <v>#REF!</v>
      </c>
      <c r="B150" s="117">
        <v>102304484778</v>
      </c>
      <c r="C150" s="176">
        <v>6725451510</v>
      </c>
      <c r="D150" s="176" t="s">
        <v>43</v>
      </c>
      <c r="E150" s="125" t="s">
        <v>442</v>
      </c>
      <c r="F150" s="169" t="s">
        <v>443</v>
      </c>
      <c r="G150" s="177" t="s">
        <v>444</v>
      </c>
      <c r="H150" s="109">
        <v>1575</v>
      </c>
      <c r="I150" s="122">
        <v>30</v>
      </c>
      <c r="J150" s="103">
        <v>13580</v>
      </c>
      <c r="K150" s="103">
        <v>5136</v>
      </c>
      <c r="L150" s="103">
        <v>1284</v>
      </c>
      <c r="M150" s="111">
        <f t="shared" si="37"/>
        <v>20000</v>
      </c>
      <c r="N150" s="103">
        <f t="shared" si="30"/>
        <v>20000</v>
      </c>
      <c r="O150" s="104">
        <f t="shared" si="31"/>
        <v>13580</v>
      </c>
      <c r="P150" s="104">
        <f t="shared" si="32"/>
        <v>5136</v>
      </c>
      <c r="Q150" s="104">
        <f t="shared" si="33"/>
        <v>1284</v>
      </c>
      <c r="R150" s="103"/>
      <c r="S150" s="112">
        <f t="shared" si="34"/>
        <v>20000</v>
      </c>
      <c r="T150" s="103">
        <f t="shared" si="26"/>
        <v>1630</v>
      </c>
      <c r="U150" s="104">
        <f t="shared" si="29"/>
        <v>150</v>
      </c>
      <c r="V150" s="174"/>
      <c r="W150" s="175"/>
      <c r="X150" s="104">
        <f t="shared" si="35"/>
        <v>1780</v>
      </c>
      <c r="Y150" s="112">
        <f t="shared" si="36"/>
        <v>18220</v>
      </c>
    </row>
    <row r="151" spans="1:25" ht="18" customHeight="1">
      <c r="A151" s="103" t="e">
        <f t="shared" si="38"/>
        <v>#REF!</v>
      </c>
      <c r="B151" s="117">
        <v>102304492862</v>
      </c>
      <c r="C151" s="176">
        <v>6725451587</v>
      </c>
      <c r="D151" s="176" t="s">
        <v>43</v>
      </c>
      <c r="E151" s="125" t="s">
        <v>445</v>
      </c>
      <c r="F151" s="169" t="s">
        <v>446</v>
      </c>
      <c r="G151" s="177" t="s">
        <v>447</v>
      </c>
      <c r="H151" s="109">
        <v>1579</v>
      </c>
      <c r="I151" s="122">
        <v>30</v>
      </c>
      <c r="J151" s="103">
        <v>13580</v>
      </c>
      <c r="K151" s="103">
        <v>2736</v>
      </c>
      <c r="L151" s="103">
        <v>684</v>
      </c>
      <c r="M151" s="111">
        <f t="shared" si="37"/>
        <v>17000</v>
      </c>
      <c r="N151" s="103">
        <f t="shared" si="30"/>
        <v>17000</v>
      </c>
      <c r="O151" s="104">
        <f t="shared" si="31"/>
        <v>13580</v>
      </c>
      <c r="P151" s="104">
        <f t="shared" si="32"/>
        <v>2736</v>
      </c>
      <c r="Q151" s="104">
        <f t="shared" si="33"/>
        <v>684</v>
      </c>
      <c r="R151" s="103"/>
      <c r="S151" s="112">
        <f t="shared" si="34"/>
        <v>17000</v>
      </c>
      <c r="T151" s="103">
        <f t="shared" si="26"/>
        <v>1630</v>
      </c>
      <c r="U151" s="104">
        <f t="shared" si="29"/>
        <v>128</v>
      </c>
      <c r="V151" s="174"/>
      <c r="W151" s="175"/>
      <c r="X151" s="104">
        <f t="shared" si="35"/>
        <v>1758</v>
      </c>
      <c r="Y151" s="112">
        <f t="shared" si="36"/>
        <v>15242</v>
      </c>
    </row>
    <row r="152" spans="1:25" ht="18" customHeight="1">
      <c r="A152" s="103" t="e">
        <f t="shared" si="38"/>
        <v>#REF!</v>
      </c>
      <c r="B152" s="117">
        <v>102105210940</v>
      </c>
      <c r="C152" s="176">
        <v>2113303863</v>
      </c>
      <c r="D152" s="176" t="s">
        <v>43</v>
      </c>
      <c r="E152" s="125" t="s">
        <v>448</v>
      </c>
      <c r="F152" s="169" t="s">
        <v>449</v>
      </c>
      <c r="G152" s="177" t="s">
        <v>450</v>
      </c>
      <c r="H152" s="109">
        <v>1576</v>
      </c>
      <c r="I152" s="122">
        <v>30</v>
      </c>
      <c r="J152" s="103">
        <v>13580</v>
      </c>
      <c r="K152" s="103">
        <v>2736</v>
      </c>
      <c r="L152" s="103">
        <v>684</v>
      </c>
      <c r="M152" s="111">
        <f t="shared" si="37"/>
        <v>17000</v>
      </c>
      <c r="N152" s="103">
        <f t="shared" si="30"/>
        <v>17000</v>
      </c>
      <c r="O152" s="104">
        <f t="shared" si="31"/>
        <v>13580</v>
      </c>
      <c r="P152" s="104">
        <f t="shared" si="32"/>
        <v>2736</v>
      </c>
      <c r="Q152" s="104">
        <f t="shared" si="33"/>
        <v>684</v>
      </c>
      <c r="R152" s="103"/>
      <c r="S152" s="112">
        <f t="shared" si="34"/>
        <v>17000</v>
      </c>
      <c r="T152" s="103">
        <f t="shared" si="26"/>
        <v>1630</v>
      </c>
      <c r="U152" s="104">
        <f t="shared" si="29"/>
        <v>128</v>
      </c>
      <c r="V152" s="174"/>
      <c r="W152" s="175"/>
      <c r="X152" s="104">
        <f t="shared" si="35"/>
        <v>1758</v>
      </c>
      <c r="Y152" s="112">
        <f t="shared" si="36"/>
        <v>15242</v>
      </c>
    </row>
    <row r="153" spans="1:25" ht="18" customHeight="1">
      <c r="A153" s="103" t="e">
        <f t="shared" si="38"/>
        <v>#REF!</v>
      </c>
      <c r="B153" s="117">
        <v>102304497977</v>
      </c>
      <c r="C153" s="176">
        <v>6725449226</v>
      </c>
      <c r="D153" s="176" t="s">
        <v>43</v>
      </c>
      <c r="E153" s="125" t="s">
        <v>451</v>
      </c>
      <c r="F153" s="169" t="s">
        <v>452</v>
      </c>
      <c r="G153" s="177" t="s">
        <v>453</v>
      </c>
      <c r="H153" s="109">
        <v>1577</v>
      </c>
      <c r="I153" s="122">
        <v>29.5</v>
      </c>
      <c r="J153" s="103">
        <v>13580</v>
      </c>
      <c r="K153" s="103">
        <v>1136</v>
      </c>
      <c r="L153" s="103">
        <v>284</v>
      </c>
      <c r="M153" s="111">
        <f t="shared" si="37"/>
        <v>15000</v>
      </c>
      <c r="N153" s="103">
        <f t="shared" si="30"/>
        <v>15000</v>
      </c>
      <c r="O153" s="104">
        <f t="shared" si="31"/>
        <v>13354</v>
      </c>
      <c r="P153" s="104">
        <f t="shared" si="32"/>
        <v>1117</v>
      </c>
      <c r="Q153" s="104">
        <f t="shared" si="33"/>
        <v>279</v>
      </c>
      <c r="R153" s="103"/>
      <c r="S153" s="112">
        <f t="shared" si="34"/>
        <v>14750</v>
      </c>
      <c r="T153" s="103">
        <f t="shared" si="26"/>
        <v>1602</v>
      </c>
      <c r="U153" s="104">
        <f t="shared" si="29"/>
        <v>111</v>
      </c>
      <c r="V153" s="174"/>
      <c r="W153" s="175"/>
      <c r="X153" s="104">
        <f t="shared" si="35"/>
        <v>1713</v>
      </c>
      <c r="Y153" s="112">
        <f t="shared" si="36"/>
        <v>13037</v>
      </c>
    </row>
    <row r="154" spans="1:25" ht="18" customHeight="1">
      <c r="A154" s="103" t="e">
        <f t="shared" si="38"/>
        <v>#REF!</v>
      </c>
      <c r="B154" s="117">
        <v>102020671016</v>
      </c>
      <c r="C154" s="176">
        <v>2113103489</v>
      </c>
      <c r="D154" s="176" t="s">
        <v>43</v>
      </c>
      <c r="E154" s="125" t="s">
        <v>454</v>
      </c>
      <c r="F154" s="169" t="s">
        <v>455</v>
      </c>
      <c r="G154" s="177" t="s">
        <v>456</v>
      </c>
      <c r="H154" s="109">
        <v>1583</v>
      </c>
      <c r="I154" s="122">
        <v>29.5</v>
      </c>
      <c r="J154" s="103">
        <v>13580</v>
      </c>
      <c r="K154" s="103">
        <v>2736</v>
      </c>
      <c r="L154" s="103">
        <v>684</v>
      </c>
      <c r="M154" s="111">
        <f t="shared" si="37"/>
        <v>17000</v>
      </c>
      <c r="N154" s="103">
        <f t="shared" si="30"/>
        <v>17000</v>
      </c>
      <c r="O154" s="104">
        <f t="shared" si="31"/>
        <v>13354</v>
      </c>
      <c r="P154" s="104">
        <f t="shared" si="32"/>
        <v>2690</v>
      </c>
      <c r="Q154" s="104">
        <f t="shared" si="33"/>
        <v>673</v>
      </c>
      <c r="R154" s="103"/>
      <c r="S154" s="112">
        <f t="shared" si="34"/>
        <v>16717</v>
      </c>
      <c r="T154" s="103">
        <f t="shared" si="26"/>
        <v>1602</v>
      </c>
      <c r="U154" s="104">
        <f t="shared" si="29"/>
        <v>126</v>
      </c>
      <c r="V154" s="174"/>
      <c r="W154" s="175"/>
      <c r="X154" s="104">
        <f t="shared" si="35"/>
        <v>1728</v>
      </c>
      <c r="Y154" s="112">
        <f t="shared" si="36"/>
        <v>14989</v>
      </c>
    </row>
    <row r="155" spans="1:25" ht="18" customHeight="1">
      <c r="A155" s="103" t="e">
        <f t="shared" si="38"/>
        <v>#REF!</v>
      </c>
      <c r="B155" s="117">
        <v>102304502018</v>
      </c>
      <c r="C155" s="176">
        <v>6725449344</v>
      </c>
      <c r="D155" s="176" t="s">
        <v>43</v>
      </c>
      <c r="E155" s="125" t="s">
        <v>457</v>
      </c>
      <c r="F155" s="169" t="s">
        <v>458</v>
      </c>
      <c r="G155" s="177" t="s">
        <v>459</v>
      </c>
      <c r="H155" s="109">
        <v>1580</v>
      </c>
      <c r="I155" s="122">
        <v>29</v>
      </c>
      <c r="J155" s="103">
        <v>13580</v>
      </c>
      <c r="K155" s="103">
        <v>1136</v>
      </c>
      <c r="L155" s="103">
        <v>284</v>
      </c>
      <c r="M155" s="111">
        <f t="shared" si="37"/>
        <v>15000</v>
      </c>
      <c r="N155" s="103">
        <f t="shared" si="30"/>
        <v>15000</v>
      </c>
      <c r="O155" s="104">
        <f t="shared" si="31"/>
        <v>13127</v>
      </c>
      <c r="P155" s="104">
        <f t="shared" si="32"/>
        <v>1098</v>
      </c>
      <c r="Q155" s="104">
        <f t="shared" si="33"/>
        <v>275</v>
      </c>
      <c r="R155" s="103"/>
      <c r="S155" s="112">
        <f t="shared" si="34"/>
        <v>14500</v>
      </c>
      <c r="T155" s="103">
        <f t="shared" si="26"/>
        <v>1575</v>
      </c>
      <c r="U155" s="104">
        <f t="shared" si="29"/>
        <v>109</v>
      </c>
      <c r="V155" s="174"/>
      <c r="W155" s="175"/>
      <c r="X155" s="104">
        <f t="shared" si="35"/>
        <v>1684</v>
      </c>
      <c r="Y155" s="112">
        <f t="shared" si="36"/>
        <v>12816</v>
      </c>
    </row>
    <row r="156" spans="1:25" ht="18" customHeight="1">
      <c r="A156" s="103" t="e">
        <f t="shared" si="38"/>
        <v>#REF!</v>
      </c>
      <c r="B156" s="117">
        <v>102304498963</v>
      </c>
      <c r="C156" s="176">
        <v>6725448984</v>
      </c>
      <c r="D156" s="176" t="s">
        <v>43</v>
      </c>
      <c r="E156" s="125" t="s">
        <v>460</v>
      </c>
      <c r="F156" s="169" t="s">
        <v>461</v>
      </c>
      <c r="G156" s="177" t="s">
        <v>462</v>
      </c>
      <c r="H156" s="109">
        <v>1582</v>
      </c>
      <c r="I156" s="122">
        <v>28.5</v>
      </c>
      <c r="J156" s="103">
        <v>13580</v>
      </c>
      <c r="K156" s="103">
        <v>2736</v>
      </c>
      <c r="L156" s="103">
        <v>684</v>
      </c>
      <c r="M156" s="111">
        <f t="shared" si="37"/>
        <v>17000</v>
      </c>
      <c r="N156" s="103">
        <f t="shared" si="30"/>
        <v>17000</v>
      </c>
      <c r="O156" s="104">
        <f t="shared" si="31"/>
        <v>12901</v>
      </c>
      <c r="P156" s="104">
        <f t="shared" si="32"/>
        <v>2599</v>
      </c>
      <c r="Q156" s="104">
        <f t="shared" si="33"/>
        <v>650</v>
      </c>
      <c r="R156" s="103"/>
      <c r="S156" s="112">
        <f t="shared" si="34"/>
        <v>16150</v>
      </c>
      <c r="T156" s="103">
        <f t="shared" si="26"/>
        <v>1548</v>
      </c>
      <c r="U156" s="104">
        <f t="shared" si="29"/>
        <v>122</v>
      </c>
      <c r="V156" s="174"/>
      <c r="W156" s="175"/>
      <c r="X156" s="104">
        <f t="shared" si="35"/>
        <v>1670</v>
      </c>
      <c r="Y156" s="112">
        <f t="shared" si="36"/>
        <v>14480</v>
      </c>
    </row>
    <row r="157" spans="1:25" ht="18" customHeight="1">
      <c r="A157" s="103" t="e">
        <f t="shared" si="38"/>
        <v>#REF!</v>
      </c>
      <c r="B157" s="117">
        <v>102304517320</v>
      </c>
      <c r="C157" s="176">
        <v>6725451850</v>
      </c>
      <c r="D157" s="176" t="s">
        <v>43</v>
      </c>
      <c r="E157" s="125" t="s">
        <v>463</v>
      </c>
      <c r="F157" s="169" t="s">
        <v>464</v>
      </c>
      <c r="G157" s="177" t="s">
        <v>465</v>
      </c>
      <c r="H157" s="109">
        <v>1598</v>
      </c>
      <c r="I157" s="122">
        <v>29</v>
      </c>
      <c r="J157" s="103">
        <v>13580</v>
      </c>
      <c r="K157" s="103">
        <v>5136</v>
      </c>
      <c r="L157" s="103">
        <v>1284</v>
      </c>
      <c r="M157" s="111">
        <f t="shared" si="37"/>
        <v>20000</v>
      </c>
      <c r="N157" s="103">
        <f t="shared" si="30"/>
        <v>20000</v>
      </c>
      <c r="O157" s="104">
        <f t="shared" si="31"/>
        <v>13127</v>
      </c>
      <c r="P157" s="104">
        <f t="shared" si="32"/>
        <v>4965</v>
      </c>
      <c r="Q157" s="104">
        <f t="shared" si="33"/>
        <v>1241</v>
      </c>
      <c r="R157" s="103"/>
      <c r="S157" s="112">
        <f t="shared" si="34"/>
        <v>19333</v>
      </c>
      <c r="T157" s="103">
        <f t="shared" si="26"/>
        <v>1575</v>
      </c>
      <c r="U157" s="104">
        <f t="shared" si="29"/>
        <v>145</v>
      </c>
      <c r="V157" s="174"/>
      <c r="W157" s="175"/>
      <c r="X157" s="104">
        <f t="shared" si="35"/>
        <v>1720</v>
      </c>
      <c r="Y157" s="112">
        <f t="shared" si="36"/>
        <v>17613</v>
      </c>
    </row>
    <row r="158" spans="1:25" ht="18" customHeight="1">
      <c r="A158" s="103" t="e">
        <f t="shared" si="38"/>
        <v>#REF!</v>
      </c>
      <c r="B158" s="117">
        <v>101945133050</v>
      </c>
      <c r="C158" s="176">
        <v>2019005908</v>
      </c>
      <c r="D158" s="176" t="s">
        <v>43</v>
      </c>
      <c r="E158" s="125" t="s">
        <v>466</v>
      </c>
      <c r="F158" s="169" t="s">
        <v>467</v>
      </c>
      <c r="G158" s="177" t="s">
        <v>468</v>
      </c>
      <c r="H158" s="109">
        <v>1597</v>
      </c>
      <c r="I158" s="122">
        <v>28.5</v>
      </c>
      <c r="J158" s="103">
        <v>13580</v>
      </c>
      <c r="K158" s="103">
        <v>2736</v>
      </c>
      <c r="L158" s="103">
        <v>684</v>
      </c>
      <c r="M158" s="111">
        <f t="shared" si="37"/>
        <v>17000</v>
      </c>
      <c r="N158" s="103">
        <f t="shared" si="30"/>
        <v>17000</v>
      </c>
      <c r="O158" s="104">
        <f t="shared" si="31"/>
        <v>12901</v>
      </c>
      <c r="P158" s="104">
        <f t="shared" si="32"/>
        <v>2599</v>
      </c>
      <c r="Q158" s="104">
        <f t="shared" si="33"/>
        <v>650</v>
      </c>
      <c r="R158" s="103"/>
      <c r="S158" s="112">
        <f t="shared" si="34"/>
        <v>16150</v>
      </c>
      <c r="T158" s="103">
        <f t="shared" si="26"/>
        <v>1548</v>
      </c>
      <c r="U158" s="104">
        <f t="shared" si="29"/>
        <v>122</v>
      </c>
      <c r="V158" s="174"/>
      <c r="W158" s="175"/>
      <c r="X158" s="104">
        <f t="shared" si="35"/>
        <v>1670</v>
      </c>
      <c r="Y158" s="112">
        <f t="shared" si="36"/>
        <v>14480</v>
      </c>
    </row>
    <row r="159" spans="1:25" ht="18" customHeight="1">
      <c r="A159" s="103" t="e">
        <f t="shared" si="38"/>
        <v>#REF!</v>
      </c>
      <c r="B159" s="117">
        <v>102305967255</v>
      </c>
      <c r="C159" s="176">
        <v>6725458991</v>
      </c>
      <c r="D159" s="176" t="s">
        <v>43</v>
      </c>
      <c r="E159" s="125" t="s">
        <v>469</v>
      </c>
      <c r="F159" s="169" t="s">
        <v>470</v>
      </c>
      <c r="G159" s="177" t="s">
        <v>471</v>
      </c>
      <c r="H159" s="109">
        <v>1714</v>
      </c>
      <c r="I159" s="122">
        <v>30</v>
      </c>
      <c r="J159" s="103">
        <v>13580</v>
      </c>
      <c r="K159" s="103">
        <v>1136</v>
      </c>
      <c r="L159" s="103">
        <v>284</v>
      </c>
      <c r="M159" s="111">
        <f t="shared" si="37"/>
        <v>15000</v>
      </c>
      <c r="N159" s="103">
        <f t="shared" si="30"/>
        <v>15000</v>
      </c>
      <c r="O159" s="104">
        <f t="shared" si="31"/>
        <v>13580</v>
      </c>
      <c r="P159" s="104">
        <f t="shared" si="32"/>
        <v>1136</v>
      </c>
      <c r="Q159" s="104">
        <f t="shared" si="33"/>
        <v>284</v>
      </c>
      <c r="R159" s="103"/>
      <c r="S159" s="112">
        <f t="shared" si="34"/>
        <v>15000</v>
      </c>
      <c r="T159" s="103">
        <f t="shared" si="26"/>
        <v>1630</v>
      </c>
      <c r="U159" s="104">
        <f t="shared" si="29"/>
        <v>113</v>
      </c>
      <c r="V159" s="174"/>
      <c r="W159" s="175"/>
      <c r="X159" s="104">
        <f t="shared" si="35"/>
        <v>1743</v>
      </c>
      <c r="Y159" s="112">
        <f t="shared" si="36"/>
        <v>13257</v>
      </c>
    </row>
    <row r="160" spans="1:25" ht="18" customHeight="1">
      <c r="A160" s="103" t="e">
        <f t="shared" si="38"/>
        <v>#REF!</v>
      </c>
      <c r="B160" s="117">
        <v>102304531504</v>
      </c>
      <c r="C160" s="176">
        <v>6725449276</v>
      </c>
      <c r="D160" s="176" t="s">
        <v>43</v>
      </c>
      <c r="E160" s="125" t="s">
        <v>472</v>
      </c>
      <c r="F160" s="169" t="s">
        <v>473</v>
      </c>
      <c r="G160" s="177" t="s">
        <v>474</v>
      </c>
      <c r="H160" s="109">
        <v>1627</v>
      </c>
      <c r="I160" s="122">
        <v>29.5</v>
      </c>
      <c r="J160" s="103">
        <v>13580</v>
      </c>
      <c r="K160" s="103">
        <v>2736</v>
      </c>
      <c r="L160" s="103">
        <v>684</v>
      </c>
      <c r="M160" s="111">
        <f t="shared" si="37"/>
        <v>17000</v>
      </c>
      <c r="N160" s="103">
        <f t="shared" si="30"/>
        <v>17000</v>
      </c>
      <c r="O160" s="104">
        <f t="shared" si="31"/>
        <v>13354</v>
      </c>
      <c r="P160" s="104">
        <f t="shared" si="32"/>
        <v>2690</v>
      </c>
      <c r="Q160" s="104">
        <f t="shared" si="33"/>
        <v>673</v>
      </c>
      <c r="R160" s="103"/>
      <c r="S160" s="112">
        <f t="shared" si="34"/>
        <v>16717</v>
      </c>
      <c r="T160" s="103">
        <f t="shared" si="26"/>
        <v>1602</v>
      </c>
      <c r="U160" s="104">
        <f t="shared" si="29"/>
        <v>126</v>
      </c>
      <c r="V160" s="174"/>
      <c r="W160" s="175"/>
      <c r="X160" s="104">
        <f t="shared" si="35"/>
        <v>1728</v>
      </c>
      <c r="Y160" s="112">
        <f t="shared" si="36"/>
        <v>14989</v>
      </c>
    </row>
    <row r="161" spans="1:25" ht="18" customHeight="1">
      <c r="A161" s="103" t="e">
        <f t="shared" si="38"/>
        <v>#REF!</v>
      </c>
      <c r="B161" s="117">
        <v>101825521369</v>
      </c>
      <c r="C161" s="176">
        <v>6721103322</v>
      </c>
      <c r="D161" s="176" t="s">
        <v>43</v>
      </c>
      <c r="E161" s="125" t="s">
        <v>475</v>
      </c>
      <c r="F161" s="169" t="s">
        <v>476</v>
      </c>
      <c r="G161" s="177" t="s">
        <v>477</v>
      </c>
      <c r="H161" s="109">
        <v>1629</v>
      </c>
      <c r="I161" s="122">
        <v>22</v>
      </c>
      <c r="J161" s="103">
        <v>13580</v>
      </c>
      <c r="K161" s="103">
        <v>2736</v>
      </c>
      <c r="L161" s="103">
        <v>684</v>
      </c>
      <c r="M161" s="111">
        <f t="shared" si="37"/>
        <v>17000</v>
      </c>
      <c r="N161" s="103">
        <f t="shared" si="30"/>
        <v>17000</v>
      </c>
      <c r="O161" s="104">
        <f t="shared" si="31"/>
        <v>9959</v>
      </c>
      <c r="P161" s="104">
        <f t="shared" si="32"/>
        <v>2006</v>
      </c>
      <c r="Q161" s="104">
        <f t="shared" si="33"/>
        <v>502</v>
      </c>
      <c r="R161" s="103"/>
      <c r="S161" s="112">
        <f t="shared" si="34"/>
        <v>12467</v>
      </c>
      <c r="T161" s="103">
        <f t="shared" si="26"/>
        <v>1195</v>
      </c>
      <c r="U161" s="104">
        <f t="shared" si="29"/>
        <v>94</v>
      </c>
      <c r="V161" s="174"/>
      <c r="W161" s="175"/>
      <c r="X161" s="104">
        <f t="shared" si="35"/>
        <v>1289</v>
      </c>
      <c r="Y161" s="112">
        <f t="shared" si="36"/>
        <v>11178</v>
      </c>
    </row>
    <row r="162" spans="1:25" ht="18" customHeight="1">
      <c r="A162" s="103" t="e">
        <f>#REF!+1</f>
        <v>#REF!</v>
      </c>
      <c r="B162" s="105">
        <v>102224789297</v>
      </c>
      <c r="C162" s="176">
        <v>6725532774</v>
      </c>
      <c r="D162" s="176"/>
      <c r="E162" s="125" t="s">
        <v>481</v>
      </c>
      <c r="F162" s="169" t="s">
        <v>482</v>
      </c>
      <c r="G162" s="177" t="s">
        <v>483</v>
      </c>
      <c r="H162" s="109">
        <v>1826</v>
      </c>
      <c r="I162" s="122">
        <v>29.5</v>
      </c>
      <c r="J162" s="103">
        <v>13580</v>
      </c>
      <c r="K162" s="103">
        <v>4420</v>
      </c>
      <c r="L162" s="103">
        <v>0</v>
      </c>
      <c r="M162" s="111">
        <f t="shared" si="37"/>
        <v>18000</v>
      </c>
      <c r="N162" s="103">
        <f t="shared" si="30"/>
        <v>18000</v>
      </c>
      <c r="O162" s="104">
        <f t="shared" si="31"/>
        <v>13354</v>
      </c>
      <c r="P162" s="104">
        <f t="shared" si="32"/>
        <v>4346</v>
      </c>
      <c r="Q162" s="104">
        <f t="shared" si="33"/>
        <v>0</v>
      </c>
      <c r="R162" s="103"/>
      <c r="S162" s="112">
        <f t="shared" si="34"/>
        <v>17700</v>
      </c>
      <c r="T162" s="103">
        <f t="shared" si="26"/>
        <v>1602</v>
      </c>
      <c r="U162" s="104">
        <f t="shared" si="29"/>
        <v>133</v>
      </c>
      <c r="V162" s="174"/>
      <c r="W162" s="175"/>
      <c r="X162" s="104">
        <f t="shared" si="35"/>
        <v>1735</v>
      </c>
      <c r="Y162" s="112">
        <f t="shared" si="36"/>
        <v>15965</v>
      </c>
    </row>
    <row r="163" spans="1:25" ht="18" customHeight="1">
      <c r="A163" s="103" t="e">
        <f t="shared" si="38"/>
        <v>#REF!</v>
      </c>
      <c r="B163" s="105">
        <v>102254989099</v>
      </c>
      <c r="C163" s="176">
        <v>6725532936</v>
      </c>
      <c r="D163" s="176"/>
      <c r="E163" s="125" t="s">
        <v>484</v>
      </c>
      <c r="F163" s="169" t="s">
        <v>485</v>
      </c>
      <c r="G163" s="177" t="s">
        <v>486</v>
      </c>
      <c r="H163" s="109">
        <v>1827</v>
      </c>
      <c r="I163" s="122">
        <v>30</v>
      </c>
      <c r="J163" s="103">
        <v>13580</v>
      </c>
      <c r="K163" s="103">
        <v>6420</v>
      </c>
      <c r="L163" s="103">
        <v>0</v>
      </c>
      <c r="M163" s="111">
        <f t="shared" si="37"/>
        <v>20000</v>
      </c>
      <c r="N163" s="103">
        <f t="shared" si="30"/>
        <v>20000</v>
      </c>
      <c r="O163" s="104">
        <f t="shared" si="31"/>
        <v>13580</v>
      </c>
      <c r="P163" s="104">
        <f t="shared" si="32"/>
        <v>6420</v>
      </c>
      <c r="Q163" s="104">
        <f t="shared" si="33"/>
        <v>0</v>
      </c>
      <c r="R163" s="103"/>
      <c r="S163" s="112">
        <f t="shared" si="34"/>
        <v>20000</v>
      </c>
      <c r="T163" s="103">
        <f t="shared" si="26"/>
        <v>1630</v>
      </c>
      <c r="U163" s="104">
        <f t="shared" si="29"/>
        <v>150</v>
      </c>
      <c r="V163" s="174"/>
      <c r="W163" s="175"/>
      <c r="X163" s="104">
        <f t="shared" si="35"/>
        <v>1780</v>
      </c>
      <c r="Y163" s="112">
        <f t="shared" si="36"/>
        <v>18220</v>
      </c>
    </row>
    <row r="164" spans="1:25" ht="18" customHeight="1">
      <c r="A164" s="103" t="e">
        <f>#REF!+1</f>
        <v>#REF!</v>
      </c>
      <c r="B164" s="105">
        <v>102314559793</v>
      </c>
      <c r="C164" s="176">
        <v>6725536245</v>
      </c>
      <c r="D164" s="176"/>
      <c r="E164" s="125" t="s">
        <v>490</v>
      </c>
      <c r="F164" s="169" t="s">
        <v>491</v>
      </c>
      <c r="G164" s="177" t="s">
        <v>492</v>
      </c>
      <c r="H164" s="109">
        <v>1828</v>
      </c>
      <c r="I164" s="122">
        <v>30</v>
      </c>
      <c r="J164" s="103">
        <v>13580</v>
      </c>
      <c r="K164" s="103">
        <v>6420</v>
      </c>
      <c r="L164" s="103">
        <v>0</v>
      </c>
      <c r="M164" s="111">
        <f t="shared" si="37"/>
        <v>20000</v>
      </c>
      <c r="N164" s="103">
        <f t="shared" si="30"/>
        <v>20000</v>
      </c>
      <c r="O164" s="104">
        <f t="shared" si="31"/>
        <v>13580</v>
      </c>
      <c r="P164" s="104">
        <f t="shared" si="32"/>
        <v>6420</v>
      </c>
      <c r="Q164" s="104">
        <f t="shared" si="33"/>
        <v>0</v>
      </c>
      <c r="R164" s="103"/>
      <c r="S164" s="112">
        <f t="shared" si="34"/>
        <v>20000</v>
      </c>
      <c r="T164" s="103">
        <f t="shared" si="26"/>
        <v>1630</v>
      </c>
      <c r="U164" s="104">
        <f t="shared" si="29"/>
        <v>150</v>
      </c>
      <c r="V164" s="174"/>
      <c r="W164" s="175"/>
      <c r="X164" s="104">
        <f t="shared" si="35"/>
        <v>1780</v>
      </c>
      <c r="Y164" s="112">
        <f t="shared" si="36"/>
        <v>18220</v>
      </c>
    </row>
    <row r="165" spans="1:25" ht="18" customHeight="1">
      <c r="A165" s="103" t="e">
        <f t="shared" si="38"/>
        <v>#REF!</v>
      </c>
      <c r="B165" s="105">
        <v>102314564856</v>
      </c>
      <c r="C165" s="176">
        <v>1015002059</v>
      </c>
      <c r="D165" s="176"/>
      <c r="E165" s="125" t="s">
        <v>493</v>
      </c>
      <c r="F165" s="169" t="s">
        <v>494</v>
      </c>
      <c r="G165" s="177" t="s">
        <v>495</v>
      </c>
      <c r="H165" s="109">
        <v>1829</v>
      </c>
      <c r="I165" s="122">
        <v>30</v>
      </c>
      <c r="J165" s="103">
        <v>13580</v>
      </c>
      <c r="K165" s="103">
        <v>4420</v>
      </c>
      <c r="L165" s="103">
        <v>0</v>
      </c>
      <c r="M165" s="111">
        <f t="shared" si="37"/>
        <v>18000</v>
      </c>
      <c r="N165" s="103">
        <f t="shared" si="30"/>
        <v>18000</v>
      </c>
      <c r="O165" s="104">
        <f t="shared" si="31"/>
        <v>13580</v>
      </c>
      <c r="P165" s="104">
        <f t="shared" si="32"/>
        <v>4420</v>
      </c>
      <c r="Q165" s="104">
        <f t="shared" si="33"/>
        <v>0</v>
      </c>
      <c r="R165" s="103"/>
      <c r="S165" s="112">
        <f t="shared" si="34"/>
        <v>18000</v>
      </c>
      <c r="T165" s="103">
        <f t="shared" ref="T165:T180" si="39">ROUND(IF(J165&gt;15000,(15000/$AA$3*I165)*12%,O165*12%)*1,0)</f>
        <v>1630</v>
      </c>
      <c r="U165" s="104">
        <f t="shared" si="29"/>
        <v>135</v>
      </c>
      <c r="V165" s="174"/>
      <c r="W165" s="175"/>
      <c r="X165" s="104">
        <f t="shared" si="35"/>
        <v>1765</v>
      </c>
      <c r="Y165" s="112">
        <f t="shared" si="36"/>
        <v>16235</v>
      </c>
    </row>
    <row r="166" spans="1:25" ht="18" customHeight="1">
      <c r="A166" s="103" t="e">
        <f t="shared" si="38"/>
        <v>#REF!</v>
      </c>
      <c r="B166" s="105">
        <v>102282872218</v>
      </c>
      <c r="C166" s="176">
        <v>2019860477</v>
      </c>
      <c r="D166" s="176"/>
      <c r="E166" s="125" t="s">
        <v>496</v>
      </c>
      <c r="F166" s="169" t="s">
        <v>497</v>
      </c>
      <c r="G166" s="177" t="s">
        <v>498</v>
      </c>
      <c r="H166" s="109">
        <v>1830</v>
      </c>
      <c r="I166" s="122">
        <v>30</v>
      </c>
      <c r="J166" s="103">
        <v>13580</v>
      </c>
      <c r="K166" s="103">
        <v>6420</v>
      </c>
      <c r="L166" s="103">
        <v>0</v>
      </c>
      <c r="M166" s="111">
        <f t="shared" si="37"/>
        <v>20000</v>
      </c>
      <c r="N166" s="103">
        <f t="shared" si="30"/>
        <v>20000</v>
      </c>
      <c r="O166" s="104">
        <f t="shared" si="31"/>
        <v>13580</v>
      </c>
      <c r="P166" s="104">
        <f t="shared" si="32"/>
        <v>6420</v>
      </c>
      <c r="Q166" s="104">
        <f t="shared" si="33"/>
        <v>0</v>
      </c>
      <c r="R166" s="103"/>
      <c r="S166" s="112">
        <f t="shared" si="34"/>
        <v>20000</v>
      </c>
      <c r="T166" s="103">
        <f t="shared" si="39"/>
        <v>1630</v>
      </c>
      <c r="U166" s="104">
        <f t="shared" si="29"/>
        <v>150</v>
      </c>
      <c r="V166" s="174"/>
      <c r="W166" s="175"/>
      <c r="X166" s="104">
        <f t="shared" si="35"/>
        <v>1780</v>
      </c>
      <c r="Y166" s="112">
        <f t="shared" si="36"/>
        <v>18220</v>
      </c>
    </row>
    <row r="167" spans="1:25" ht="18" customHeight="1">
      <c r="A167" s="103" t="e">
        <f t="shared" si="38"/>
        <v>#REF!</v>
      </c>
      <c r="B167" s="105">
        <v>101392631607</v>
      </c>
      <c r="C167" s="176">
        <v>6725536265</v>
      </c>
      <c r="D167" s="176"/>
      <c r="E167" s="125" t="s">
        <v>499</v>
      </c>
      <c r="F167" s="169" t="s">
        <v>500</v>
      </c>
      <c r="G167" s="177" t="s">
        <v>501</v>
      </c>
      <c r="H167" s="109">
        <v>1839</v>
      </c>
      <c r="I167" s="122">
        <v>30</v>
      </c>
      <c r="J167" s="103">
        <v>13580</v>
      </c>
      <c r="K167" s="103">
        <v>6420</v>
      </c>
      <c r="L167" s="103">
        <v>0</v>
      </c>
      <c r="M167" s="111">
        <f t="shared" si="37"/>
        <v>20000</v>
      </c>
      <c r="N167" s="103">
        <f t="shared" si="30"/>
        <v>20000</v>
      </c>
      <c r="O167" s="104">
        <f t="shared" si="31"/>
        <v>13580</v>
      </c>
      <c r="P167" s="104">
        <f t="shared" si="32"/>
        <v>6420</v>
      </c>
      <c r="Q167" s="104">
        <f t="shared" si="33"/>
        <v>0</v>
      </c>
      <c r="R167" s="103"/>
      <c r="S167" s="112">
        <f t="shared" si="34"/>
        <v>20000</v>
      </c>
      <c r="T167" s="103">
        <f t="shared" si="39"/>
        <v>1630</v>
      </c>
      <c r="U167" s="104">
        <f t="shared" si="29"/>
        <v>150</v>
      </c>
      <c r="V167" s="174"/>
      <c r="W167" s="175"/>
      <c r="X167" s="104">
        <f t="shared" si="35"/>
        <v>1780</v>
      </c>
      <c r="Y167" s="112">
        <f t="shared" si="36"/>
        <v>18220</v>
      </c>
    </row>
    <row r="168" spans="1:25" ht="18" customHeight="1">
      <c r="A168" s="103" t="e">
        <f t="shared" si="38"/>
        <v>#REF!</v>
      </c>
      <c r="B168" s="105">
        <v>101907845658</v>
      </c>
      <c r="C168" s="176">
        <v>6725541712</v>
      </c>
      <c r="D168" s="176"/>
      <c r="E168" s="125" t="s">
        <v>502</v>
      </c>
      <c r="F168" s="169" t="s">
        <v>503</v>
      </c>
      <c r="G168" s="177" t="s">
        <v>504</v>
      </c>
      <c r="H168" s="109">
        <v>1831</v>
      </c>
      <c r="I168" s="122">
        <v>30</v>
      </c>
      <c r="J168" s="103">
        <v>13580</v>
      </c>
      <c r="K168" s="103">
        <v>6420</v>
      </c>
      <c r="L168" s="103">
        <v>0</v>
      </c>
      <c r="M168" s="111">
        <f t="shared" si="37"/>
        <v>20000</v>
      </c>
      <c r="N168" s="103">
        <f t="shared" si="30"/>
        <v>20000</v>
      </c>
      <c r="O168" s="104">
        <f t="shared" si="31"/>
        <v>13580</v>
      </c>
      <c r="P168" s="104">
        <f t="shared" si="32"/>
        <v>6420</v>
      </c>
      <c r="Q168" s="104">
        <f t="shared" si="33"/>
        <v>0</v>
      </c>
      <c r="R168" s="103"/>
      <c r="S168" s="112">
        <f t="shared" si="34"/>
        <v>20000</v>
      </c>
      <c r="T168" s="103">
        <f t="shared" si="39"/>
        <v>1630</v>
      </c>
      <c r="U168" s="104">
        <f t="shared" si="29"/>
        <v>150</v>
      </c>
      <c r="V168" s="174"/>
      <c r="W168" s="175"/>
      <c r="X168" s="104">
        <f t="shared" si="35"/>
        <v>1780</v>
      </c>
      <c r="Y168" s="112">
        <f t="shared" si="36"/>
        <v>18220</v>
      </c>
    </row>
    <row r="169" spans="1:25" ht="18" customHeight="1">
      <c r="A169" s="103" t="e">
        <f t="shared" si="38"/>
        <v>#REF!</v>
      </c>
      <c r="B169" s="105">
        <v>102250710731</v>
      </c>
      <c r="C169" s="176">
        <v>6725539372</v>
      </c>
      <c r="D169" s="176"/>
      <c r="E169" s="125" t="s">
        <v>505</v>
      </c>
      <c r="F169" s="169" t="s">
        <v>506</v>
      </c>
      <c r="G169" s="177" t="s">
        <v>507</v>
      </c>
      <c r="H169" s="109">
        <v>1832</v>
      </c>
      <c r="I169" s="122">
        <v>30</v>
      </c>
      <c r="J169" s="103">
        <v>13580</v>
      </c>
      <c r="K169" s="103">
        <v>4420</v>
      </c>
      <c r="L169" s="103">
        <v>0</v>
      </c>
      <c r="M169" s="111">
        <f t="shared" si="37"/>
        <v>18000</v>
      </c>
      <c r="N169" s="103">
        <f t="shared" si="30"/>
        <v>18000</v>
      </c>
      <c r="O169" s="104">
        <f t="shared" si="31"/>
        <v>13580</v>
      </c>
      <c r="P169" s="104">
        <f t="shared" si="32"/>
        <v>4420</v>
      </c>
      <c r="Q169" s="104">
        <f t="shared" si="33"/>
        <v>0</v>
      </c>
      <c r="R169" s="103"/>
      <c r="S169" s="112">
        <f t="shared" si="34"/>
        <v>18000</v>
      </c>
      <c r="T169" s="103">
        <f t="shared" si="39"/>
        <v>1630</v>
      </c>
      <c r="U169" s="104">
        <f t="shared" si="29"/>
        <v>135</v>
      </c>
      <c r="V169" s="174"/>
      <c r="W169" s="175"/>
      <c r="X169" s="104">
        <f t="shared" si="35"/>
        <v>1765</v>
      </c>
      <c r="Y169" s="112">
        <f t="shared" si="36"/>
        <v>16235</v>
      </c>
    </row>
    <row r="170" spans="1:25" ht="18" customHeight="1">
      <c r="A170" s="103" t="e">
        <f t="shared" si="38"/>
        <v>#REF!</v>
      </c>
      <c r="B170" s="105">
        <v>102316518230</v>
      </c>
      <c r="C170" s="176" t="s">
        <v>30</v>
      </c>
      <c r="D170" s="176"/>
      <c r="E170" s="125" t="s">
        <v>508</v>
      </c>
      <c r="F170" s="169" t="s">
        <v>509</v>
      </c>
      <c r="G170" s="177" t="s">
        <v>510</v>
      </c>
      <c r="H170" s="109">
        <v>1833</v>
      </c>
      <c r="I170" s="122">
        <v>30</v>
      </c>
      <c r="J170" s="103">
        <v>13580</v>
      </c>
      <c r="K170" s="103">
        <v>9200</v>
      </c>
      <c r="L170" s="103">
        <v>220</v>
      </c>
      <c r="M170" s="111">
        <f t="shared" si="37"/>
        <v>23000</v>
      </c>
      <c r="N170" s="103">
        <f t="shared" si="30"/>
        <v>23000</v>
      </c>
      <c r="O170" s="104">
        <f t="shared" si="31"/>
        <v>13580</v>
      </c>
      <c r="P170" s="104">
        <f t="shared" si="32"/>
        <v>9200</v>
      </c>
      <c r="Q170" s="104">
        <f t="shared" si="33"/>
        <v>220</v>
      </c>
      <c r="R170" s="103"/>
      <c r="S170" s="112">
        <f t="shared" si="34"/>
        <v>23000</v>
      </c>
      <c r="T170" s="103">
        <f t="shared" si="39"/>
        <v>1630</v>
      </c>
      <c r="U170" s="173">
        <v>0</v>
      </c>
      <c r="V170" s="174"/>
      <c r="W170" s="175"/>
      <c r="X170" s="104">
        <f t="shared" si="35"/>
        <v>1630</v>
      </c>
      <c r="Y170" s="112">
        <f t="shared" si="36"/>
        <v>21370</v>
      </c>
    </row>
    <row r="171" spans="1:25" ht="18" customHeight="1">
      <c r="A171" s="103" t="e">
        <f t="shared" si="38"/>
        <v>#REF!</v>
      </c>
      <c r="B171" s="105">
        <v>102315033289</v>
      </c>
      <c r="C171" s="176">
        <v>6725539378</v>
      </c>
      <c r="D171" s="176"/>
      <c r="E171" s="125" t="s">
        <v>511</v>
      </c>
      <c r="F171" s="169" t="s">
        <v>512</v>
      </c>
      <c r="G171" s="177" t="s">
        <v>513</v>
      </c>
      <c r="H171" s="109">
        <v>1834</v>
      </c>
      <c r="I171" s="122">
        <v>30</v>
      </c>
      <c r="J171" s="103">
        <v>13580</v>
      </c>
      <c r="K171" s="103">
        <v>6420</v>
      </c>
      <c r="L171" s="103">
        <v>0</v>
      </c>
      <c r="M171" s="111">
        <f t="shared" si="37"/>
        <v>20000</v>
      </c>
      <c r="N171" s="103">
        <f t="shared" si="30"/>
        <v>20000</v>
      </c>
      <c r="O171" s="104">
        <f t="shared" si="31"/>
        <v>13580</v>
      </c>
      <c r="P171" s="104">
        <f t="shared" si="32"/>
        <v>6420</v>
      </c>
      <c r="Q171" s="104">
        <f t="shared" si="33"/>
        <v>0</v>
      </c>
      <c r="R171" s="103"/>
      <c r="S171" s="112">
        <f t="shared" si="34"/>
        <v>20000</v>
      </c>
      <c r="T171" s="103">
        <f t="shared" si="39"/>
        <v>1630</v>
      </c>
      <c r="U171" s="104">
        <f t="shared" si="29"/>
        <v>150</v>
      </c>
      <c r="V171" s="174"/>
      <c r="W171" s="175"/>
      <c r="X171" s="104">
        <f t="shared" si="35"/>
        <v>1780</v>
      </c>
      <c r="Y171" s="112">
        <f t="shared" si="36"/>
        <v>18220</v>
      </c>
    </row>
    <row r="172" spans="1:25" ht="18" customHeight="1">
      <c r="A172" s="103" t="e">
        <f t="shared" si="38"/>
        <v>#REF!</v>
      </c>
      <c r="B172" s="105">
        <v>102312138239</v>
      </c>
      <c r="C172" s="176">
        <v>6725496239</v>
      </c>
      <c r="D172" s="176" t="s">
        <v>43</v>
      </c>
      <c r="E172" s="125" t="s">
        <v>514</v>
      </c>
      <c r="F172" s="169" t="s">
        <v>515</v>
      </c>
      <c r="G172" s="177" t="s">
        <v>516</v>
      </c>
      <c r="H172" s="109">
        <v>1695</v>
      </c>
      <c r="I172" s="122">
        <v>28</v>
      </c>
      <c r="J172" s="103">
        <v>13580</v>
      </c>
      <c r="K172" s="103">
        <v>1420</v>
      </c>
      <c r="L172" s="103">
        <v>0</v>
      </c>
      <c r="M172" s="111">
        <f t="shared" si="37"/>
        <v>15000</v>
      </c>
      <c r="N172" s="103">
        <f t="shared" si="30"/>
        <v>15000</v>
      </c>
      <c r="O172" s="104">
        <f t="shared" si="31"/>
        <v>12675</v>
      </c>
      <c r="P172" s="104">
        <f t="shared" si="32"/>
        <v>1325</v>
      </c>
      <c r="Q172" s="104">
        <f t="shared" si="33"/>
        <v>0</v>
      </c>
      <c r="R172" s="103"/>
      <c r="S172" s="112">
        <f t="shared" si="34"/>
        <v>14000</v>
      </c>
      <c r="T172" s="103">
        <f t="shared" si="39"/>
        <v>1521</v>
      </c>
      <c r="U172" s="104">
        <f t="shared" si="29"/>
        <v>105</v>
      </c>
      <c r="V172" s="174"/>
      <c r="W172" s="175"/>
      <c r="X172" s="104">
        <f t="shared" si="35"/>
        <v>1626</v>
      </c>
      <c r="Y172" s="112">
        <f t="shared" si="36"/>
        <v>12374</v>
      </c>
    </row>
    <row r="173" spans="1:25" ht="18" customHeight="1">
      <c r="A173" s="103" t="e">
        <f t="shared" si="38"/>
        <v>#REF!</v>
      </c>
      <c r="B173" s="105">
        <v>102312142413</v>
      </c>
      <c r="C173" s="176">
        <v>6725496240</v>
      </c>
      <c r="D173" s="176" t="s">
        <v>43</v>
      </c>
      <c r="E173" s="125" t="s">
        <v>517</v>
      </c>
      <c r="F173" s="169" t="s">
        <v>518</v>
      </c>
      <c r="G173" s="177" t="s">
        <v>519</v>
      </c>
      <c r="H173" s="109">
        <v>1705</v>
      </c>
      <c r="I173" s="122">
        <v>28.5</v>
      </c>
      <c r="J173" s="103">
        <v>13580</v>
      </c>
      <c r="K173" s="103">
        <v>1420</v>
      </c>
      <c r="L173" s="103">
        <v>0</v>
      </c>
      <c r="M173" s="111">
        <f t="shared" si="37"/>
        <v>15000</v>
      </c>
      <c r="N173" s="103">
        <f t="shared" si="30"/>
        <v>15000</v>
      </c>
      <c r="O173" s="104">
        <f t="shared" si="31"/>
        <v>12901</v>
      </c>
      <c r="P173" s="104">
        <f t="shared" si="32"/>
        <v>1349</v>
      </c>
      <c r="Q173" s="104">
        <f t="shared" si="33"/>
        <v>0</v>
      </c>
      <c r="R173" s="103"/>
      <c r="S173" s="112">
        <f t="shared" si="34"/>
        <v>14250</v>
      </c>
      <c r="T173" s="103">
        <f t="shared" si="39"/>
        <v>1548</v>
      </c>
      <c r="U173" s="104">
        <f t="shared" si="29"/>
        <v>107</v>
      </c>
      <c r="V173" s="174"/>
      <c r="W173" s="175"/>
      <c r="X173" s="104">
        <f t="shared" si="35"/>
        <v>1655</v>
      </c>
      <c r="Y173" s="112">
        <f t="shared" si="36"/>
        <v>12595</v>
      </c>
    </row>
    <row r="174" spans="1:25" ht="18" customHeight="1">
      <c r="A174" s="103" t="e">
        <f t="shared" si="38"/>
        <v>#REF!</v>
      </c>
      <c r="B174" s="105">
        <v>102312143910</v>
      </c>
      <c r="C174" s="176">
        <v>6725496241</v>
      </c>
      <c r="D174" s="176" t="s">
        <v>43</v>
      </c>
      <c r="E174" s="125" t="s">
        <v>520</v>
      </c>
      <c r="F174" s="169" t="s">
        <v>521</v>
      </c>
      <c r="G174" s="177" t="s">
        <v>522</v>
      </c>
      <c r="H174" s="109">
        <v>1715</v>
      </c>
      <c r="I174" s="122">
        <v>30</v>
      </c>
      <c r="J174" s="103">
        <v>13580</v>
      </c>
      <c r="K174" s="103">
        <v>1420</v>
      </c>
      <c r="L174" s="103">
        <v>0</v>
      </c>
      <c r="M174" s="111">
        <f t="shared" si="37"/>
        <v>15000</v>
      </c>
      <c r="N174" s="103">
        <f t="shared" si="30"/>
        <v>15000</v>
      </c>
      <c r="O174" s="104">
        <f t="shared" si="31"/>
        <v>13580</v>
      </c>
      <c r="P174" s="104">
        <f t="shared" si="32"/>
        <v>1420</v>
      </c>
      <c r="Q174" s="104">
        <f t="shared" si="33"/>
        <v>0</v>
      </c>
      <c r="R174" s="103"/>
      <c r="S174" s="112">
        <f t="shared" si="34"/>
        <v>15000</v>
      </c>
      <c r="T174" s="103">
        <f t="shared" si="39"/>
        <v>1630</v>
      </c>
      <c r="U174" s="104">
        <f t="shared" ref="U174:U179" si="40">ROUNDUP(S174*0.75/100,0)</f>
        <v>113</v>
      </c>
      <c r="V174" s="174"/>
      <c r="W174" s="175"/>
      <c r="X174" s="104">
        <f t="shared" si="35"/>
        <v>1743</v>
      </c>
      <c r="Y174" s="112">
        <f t="shared" si="36"/>
        <v>13257</v>
      </c>
    </row>
    <row r="175" spans="1:25" ht="18" customHeight="1">
      <c r="A175" s="103" t="e">
        <f t="shared" si="38"/>
        <v>#REF!</v>
      </c>
      <c r="B175" s="105">
        <v>102312144744</v>
      </c>
      <c r="C175" s="176">
        <v>6724069922</v>
      </c>
      <c r="D175" s="176" t="s">
        <v>43</v>
      </c>
      <c r="E175" s="125" t="s">
        <v>523</v>
      </c>
      <c r="F175" s="169" t="s">
        <v>524</v>
      </c>
      <c r="G175" s="177" t="s">
        <v>525</v>
      </c>
      <c r="H175" s="109">
        <v>1706</v>
      </c>
      <c r="I175" s="122">
        <v>30</v>
      </c>
      <c r="J175" s="103">
        <v>13580</v>
      </c>
      <c r="K175" s="103">
        <v>1420</v>
      </c>
      <c r="L175" s="103">
        <v>0</v>
      </c>
      <c r="M175" s="111">
        <f t="shared" si="37"/>
        <v>15000</v>
      </c>
      <c r="N175" s="103">
        <f t="shared" si="30"/>
        <v>15000</v>
      </c>
      <c r="O175" s="104">
        <f t="shared" si="31"/>
        <v>13580</v>
      </c>
      <c r="P175" s="104">
        <f t="shared" si="32"/>
        <v>1420</v>
      </c>
      <c r="Q175" s="104">
        <f t="shared" si="33"/>
        <v>0</v>
      </c>
      <c r="R175" s="103"/>
      <c r="S175" s="112">
        <f t="shared" si="34"/>
        <v>15000</v>
      </c>
      <c r="T175" s="103">
        <f t="shared" si="39"/>
        <v>1630</v>
      </c>
      <c r="U175" s="104">
        <f t="shared" si="40"/>
        <v>113</v>
      </c>
      <c r="V175" s="174"/>
      <c r="W175" s="175"/>
      <c r="X175" s="104">
        <f t="shared" si="35"/>
        <v>1743</v>
      </c>
      <c r="Y175" s="112">
        <f t="shared" si="36"/>
        <v>13257</v>
      </c>
    </row>
    <row r="176" spans="1:25" ht="18" customHeight="1">
      <c r="A176" s="103" t="e">
        <f>#REF!+1</f>
        <v>#REF!</v>
      </c>
      <c r="B176" s="105">
        <v>102187530925</v>
      </c>
      <c r="C176" s="176">
        <v>6725504159</v>
      </c>
      <c r="D176" s="176" t="s">
        <v>43</v>
      </c>
      <c r="E176" s="125" t="s">
        <v>529</v>
      </c>
      <c r="F176" s="169" t="s">
        <v>530</v>
      </c>
      <c r="G176" s="177" t="s">
        <v>531</v>
      </c>
      <c r="H176" s="109">
        <v>1717</v>
      </c>
      <c r="I176" s="122">
        <v>30</v>
      </c>
      <c r="J176" s="103">
        <v>13580</v>
      </c>
      <c r="K176" s="103">
        <v>1420</v>
      </c>
      <c r="L176" s="103">
        <v>0</v>
      </c>
      <c r="M176" s="111">
        <f t="shared" si="37"/>
        <v>15000</v>
      </c>
      <c r="N176" s="103">
        <f t="shared" si="30"/>
        <v>15000</v>
      </c>
      <c r="O176" s="104">
        <f t="shared" si="31"/>
        <v>13580</v>
      </c>
      <c r="P176" s="104">
        <f t="shared" si="32"/>
        <v>1420</v>
      </c>
      <c r="Q176" s="104">
        <f t="shared" si="33"/>
        <v>0</v>
      </c>
      <c r="R176" s="103"/>
      <c r="S176" s="112">
        <f t="shared" si="34"/>
        <v>15000</v>
      </c>
      <c r="T176" s="103">
        <f t="shared" si="39"/>
        <v>1630</v>
      </c>
      <c r="U176" s="104">
        <f t="shared" si="40"/>
        <v>113</v>
      </c>
      <c r="V176" s="174"/>
      <c r="W176" s="175"/>
      <c r="X176" s="104">
        <f t="shared" si="35"/>
        <v>1743</v>
      </c>
      <c r="Y176" s="112">
        <f t="shared" si="36"/>
        <v>13257</v>
      </c>
    </row>
    <row r="177" spans="1:25" ht="18" customHeight="1">
      <c r="A177" s="103" t="e">
        <f t="shared" si="38"/>
        <v>#REF!</v>
      </c>
      <c r="B177" s="105">
        <v>102313357515</v>
      </c>
      <c r="C177" s="176">
        <v>6725504088</v>
      </c>
      <c r="D177" s="176" t="s">
        <v>43</v>
      </c>
      <c r="E177" s="125" t="s">
        <v>532</v>
      </c>
      <c r="F177" s="169" t="s">
        <v>533</v>
      </c>
      <c r="G177" s="177" t="s">
        <v>534</v>
      </c>
      <c r="H177" s="109">
        <v>1722</v>
      </c>
      <c r="I177" s="122">
        <v>30</v>
      </c>
      <c r="J177" s="103">
        <v>13580</v>
      </c>
      <c r="K177" s="103">
        <v>1420</v>
      </c>
      <c r="L177" s="103">
        <v>0</v>
      </c>
      <c r="M177" s="111">
        <f t="shared" si="37"/>
        <v>15000</v>
      </c>
      <c r="N177" s="103">
        <f t="shared" si="30"/>
        <v>15000</v>
      </c>
      <c r="O177" s="104">
        <f t="shared" si="31"/>
        <v>13580</v>
      </c>
      <c r="P177" s="104">
        <f t="shared" si="32"/>
        <v>1420</v>
      </c>
      <c r="Q177" s="104">
        <f t="shared" si="33"/>
        <v>0</v>
      </c>
      <c r="R177" s="103"/>
      <c r="S177" s="112">
        <f t="shared" si="34"/>
        <v>15000</v>
      </c>
      <c r="T177" s="103">
        <f t="shared" si="39"/>
        <v>1630</v>
      </c>
      <c r="U177" s="104">
        <f t="shared" si="40"/>
        <v>113</v>
      </c>
      <c r="V177" s="174"/>
      <c r="W177" s="175"/>
      <c r="X177" s="104">
        <f t="shared" si="35"/>
        <v>1743</v>
      </c>
      <c r="Y177" s="112">
        <f t="shared" si="36"/>
        <v>13257</v>
      </c>
    </row>
    <row r="178" spans="1:25" ht="18" customHeight="1">
      <c r="A178" s="103" t="e">
        <f>#REF!+1</f>
        <v>#REF!</v>
      </c>
      <c r="B178" s="105">
        <v>102307243133</v>
      </c>
      <c r="C178" s="176">
        <v>6725501390</v>
      </c>
      <c r="D178" s="176" t="s">
        <v>43</v>
      </c>
      <c r="E178" s="125" t="s">
        <v>538</v>
      </c>
      <c r="F178" s="169" t="s">
        <v>539</v>
      </c>
      <c r="G178" s="177" t="s">
        <v>540</v>
      </c>
      <c r="H178" s="109">
        <v>1718</v>
      </c>
      <c r="I178" s="122">
        <v>30</v>
      </c>
      <c r="J178" s="103">
        <v>13580</v>
      </c>
      <c r="K178" s="103">
        <v>1420</v>
      </c>
      <c r="L178" s="103">
        <v>0</v>
      </c>
      <c r="M178" s="111">
        <f t="shared" si="37"/>
        <v>15000</v>
      </c>
      <c r="N178" s="103">
        <f t="shared" si="30"/>
        <v>15000</v>
      </c>
      <c r="O178" s="104">
        <f t="shared" si="31"/>
        <v>13580</v>
      </c>
      <c r="P178" s="104">
        <f t="shared" si="32"/>
        <v>1420</v>
      </c>
      <c r="Q178" s="104">
        <f t="shared" si="33"/>
        <v>0</v>
      </c>
      <c r="R178" s="103"/>
      <c r="S178" s="112">
        <f t="shared" si="34"/>
        <v>15000</v>
      </c>
      <c r="T178" s="103">
        <f t="shared" si="39"/>
        <v>1630</v>
      </c>
      <c r="U178" s="104">
        <f t="shared" si="40"/>
        <v>113</v>
      </c>
      <c r="V178" s="174"/>
      <c r="W178" s="175"/>
      <c r="X178" s="104">
        <f t="shared" si="35"/>
        <v>1743</v>
      </c>
      <c r="Y178" s="112">
        <f t="shared" si="36"/>
        <v>13257</v>
      </c>
    </row>
    <row r="179" spans="1:25" ht="18" customHeight="1">
      <c r="A179" s="103" t="e">
        <f t="shared" si="38"/>
        <v>#REF!</v>
      </c>
      <c r="B179" s="105">
        <v>101875248571</v>
      </c>
      <c r="C179" s="176">
        <v>6725522501</v>
      </c>
      <c r="D179" s="176" t="s">
        <v>43</v>
      </c>
      <c r="E179" s="125" t="s">
        <v>541</v>
      </c>
      <c r="F179" s="169" t="s">
        <v>542</v>
      </c>
      <c r="G179" s="177" t="s">
        <v>543</v>
      </c>
      <c r="H179" s="109">
        <v>1746</v>
      </c>
      <c r="I179" s="122">
        <v>30</v>
      </c>
      <c r="J179" s="103">
        <v>13580</v>
      </c>
      <c r="K179" s="103">
        <v>1420</v>
      </c>
      <c r="L179" s="103">
        <v>0</v>
      </c>
      <c r="M179" s="111">
        <f t="shared" si="37"/>
        <v>15000</v>
      </c>
      <c r="N179" s="103">
        <f t="shared" si="30"/>
        <v>15000</v>
      </c>
      <c r="O179" s="104">
        <f t="shared" si="31"/>
        <v>13580</v>
      </c>
      <c r="P179" s="104">
        <f t="shared" si="32"/>
        <v>1420</v>
      </c>
      <c r="Q179" s="104">
        <f t="shared" si="33"/>
        <v>0</v>
      </c>
      <c r="R179" s="103"/>
      <c r="S179" s="112">
        <f t="shared" si="34"/>
        <v>15000</v>
      </c>
      <c r="T179" s="103">
        <f t="shared" si="39"/>
        <v>1630</v>
      </c>
      <c r="U179" s="104">
        <f t="shared" si="40"/>
        <v>113</v>
      </c>
      <c r="V179" s="174"/>
      <c r="W179" s="175"/>
      <c r="X179" s="104">
        <f t="shared" si="35"/>
        <v>1743</v>
      </c>
      <c r="Y179" s="112">
        <f t="shared" si="36"/>
        <v>13257</v>
      </c>
    </row>
    <row r="180" spans="1:25" ht="18" customHeight="1">
      <c r="A180" s="103" t="e">
        <f t="shared" si="38"/>
        <v>#REF!</v>
      </c>
      <c r="B180" s="105">
        <v>101811536816</v>
      </c>
      <c r="C180" s="176" t="s">
        <v>30</v>
      </c>
      <c r="D180" s="176" t="s">
        <v>43</v>
      </c>
      <c r="E180" s="125" t="s">
        <v>544</v>
      </c>
      <c r="F180" s="169" t="s">
        <v>545</v>
      </c>
      <c r="G180" s="177" t="s">
        <v>546</v>
      </c>
      <c r="H180" s="109">
        <v>1745</v>
      </c>
      <c r="I180" s="122">
        <v>30</v>
      </c>
      <c r="J180" s="103">
        <v>13580</v>
      </c>
      <c r="K180" s="103">
        <v>10000</v>
      </c>
      <c r="L180" s="103">
        <v>1420</v>
      </c>
      <c r="M180" s="111">
        <f t="shared" si="37"/>
        <v>25000</v>
      </c>
      <c r="N180" s="103">
        <f t="shared" ref="N180:N190" si="41">M180</f>
        <v>25000</v>
      </c>
      <c r="O180" s="104">
        <f t="shared" ref="O180:O190" si="42">ROUND(J180/$AA$3*I180,0)</f>
        <v>13580</v>
      </c>
      <c r="P180" s="104">
        <f t="shared" ref="P180:P190" si="43">ROUND(K180/$AA$3*I180,0)</f>
        <v>10000</v>
      </c>
      <c r="Q180" s="104">
        <f t="shared" ref="Q180:Q190" si="44">ROUND(L180/$AA$3*I180,0)</f>
        <v>1420</v>
      </c>
      <c r="R180" s="103"/>
      <c r="S180" s="112">
        <f t="shared" ref="S180:S190" si="45">O180+P180+Q180</f>
        <v>25000</v>
      </c>
      <c r="T180" s="103">
        <f t="shared" si="39"/>
        <v>1630</v>
      </c>
      <c r="U180" s="173">
        <v>0</v>
      </c>
      <c r="V180" s="174"/>
      <c r="W180" s="175"/>
      <c r="X180" s="104">
        <f t="shared" ref="X180:X190" si="46">T180+U180+V180+W180</f>
        <v>1630</v>
      </c>
      <c r="Y180" s="112">
        <f t="shared" ref="Y180:Y190" si="47">S180-X180</f>
        <v>23370</v>
      </c>
    </row>
    <row r="181" spans="1:25" ht="18" customHeight="1">
      <c r="A181" s="103" t="e">
        <f t="shared" si="38"/>
        <v>#REF!</v>
      </c>
      <c r="B181" s="105" t="s">
        <v>30</v>
      </c>
      <c r="C181" s="176" t="s">
        <v>30</v>
      </c>
      <c r="D181" s="176"/>
      <c r="E181" s="178" t="s">
        <v>657</v>
      </c>
      <c r="F181" s="172" t="s">
        <v>658</v>
      </c>
      <c r="G181" s="179" t="s">
        <v>659</v>
      </c>
      <c r="H181" s="140"/>
      <c r="I181" s="141">
        <v>30</v>
      </c>
      <c r="J181" s="181">
        <v>45000</v>
      </c>
      <c r="K181" s="181">
        <v>36000</v>
      </c>
      <c r="L181" s="181">
        <v>9000</v>
      </c>
      <c r="M181" s="182">
        <f t="shared" ref="M181:M190" si="48">J181+K181+L181</f>
        <v>90000</v>
      </c>
      <c r="N181" s="181">
        <f t="shared" si="41"/>
        <v>90000</v>
      </c>
      <c r="O181" s="183">
        <f t="shared" si="42"/>
        <v>45000</v>
      </c>
      <c r="P181" s="183">
        <f t="shared" si="43"/>
        <v>36000</v>
      </c>
      <c r="Q181" s="183">
        <f t="shared" si="44"/>
        <v>9000</v>
      </c>
      <c r="R181" s="181"/>
      <c r="S181" s="184">
        <f t="shared" si="45"/>
        <v>90000</v>
      </c>
      <c r="T181" s="185">
        <v>0</v>
      </c>
      <c r="U181" s="185">
        <v>0</v>
      </c>
      <c r="V181" s="186"/>
      <c r="W181" s="185"/>
      <c r="X181" s="183">
        <f t="shared" si="46"/>
        <v>0</v>
      </c>
      <c r="Y181" s="184">
        <f t="shared" si="47"/>
        <v>90000</v>
      </c>
    </row>
    <row r="182" spans="1:25" ht="18" customHeight="1">
      <c r="A182" s="103" t="e">
        <f t="shared" ref="A182:A190" si="49">A181+1</f>
        <v>#REF!</v>
      </c>
      <c r="B182" s="105" t="s">
        <v>30</v>
      </c>
      <c r="C182" s="176" t="s">
        <v>30</v>
      </c>
      <c r="D182" s="176"/>
      <c r="E182" s="178" t="s">
        <v>660</v>
      </c>
      <c r="F182" s="172" t="s">
        <v>661</v>
      </c>
      <c r="G182" s="179" t="s">
        <v>662</v>
      </c>
      <c r="H182" s="140"/>
      <c r="I182" s="141">
        <v>30</v>
      </c>
      <c r="J182" s="181">
        <v>45000</v>
      </c>
      <c r="K182" s="181">
        <v>36000</v>
      </c>
      <c r="L182" s="181">
        <v>9000</v>
      </c>
      <c r="M182" s="182">
        <f t="shared" si="48"/>
        <v>90000</v>
      </c>
      <c r="N182" s="181">
        <f t="shared" si="41"/>
        <v>90000</v>
      </c>
      <c r="O182" s="183">
        <f t="shared" si="42"/>
        <v>45000</v>
      </c>
      <c r="P182" s="183">
        <f t="shared" si="43"/>
        <v>36000</v>
      </c>
      <c r="Q182" s="183">
        <f t="shared" si="44"/>
        <v>9000</v>
      </c>
      <c r="R182" s="181"/>
      <c r="S182" s="184">
        <f t="shared" si="45"/>
        <v>90000</v>
      </c>
      <c r="T182" s="185">
        <v>0</v>
      </c>
      <c r="U182" s="185">
        <v>0</v>
      </c>
      <c r="V182" s="186"/>
      <c r="W182" s="185"/>
      <c r="X182" s="183">
        <f t="shared" si="46"/>
        <v>0</v>
      </c>
      <c r="Y182" s="184">
        <f t="shared" si="47"/>
        <v>90000</v>
      </c>
    </row>
    <row r="183" spans="1:25" ht="18" customHeight="1">
      <c r="A183" s="103" t="e">
        <f>#REF!+1</f>
        <v>#REF!</v>
      </c>
      <c r="B183" s="105">
        <v>100737508864</v>
      </c>
      <c r="C183" s="176" t="s">
        <v>30</v>
      </c>
      <c r="D183" s="176"/>
      <c r="E183" s="125" t="s">
        <v>550</v>
      </c>
      <c r="F183" s="169" t="s">
        <v>551</v>
      </c>
      <c r="G183" s="177" t="s">
        <v>552</v>
      </c>
      <c r="H183" s="109"/>
      <c r="I183" s="122">
        <v>30</v>
      </c>
      <c r="J183" s="103">
        <v>35000</v>
      </c>
      <c r="K183" s="103">
        <v>28000</v>
      </c>
      <c r="L183" s="103">
        <v>7000</v>
      </c>
      <c r="M183" s="111">
        <f t="shared" si="48"/>
        <v>70000</v>
      </c>
      <c r="N183" s="103">
        <f t="shared" si="41"/>
        <v>70000</v>
      </c>
      <c r="O183" s="104">
        <f t="shared" si="42"/>
        <v>35000</v>
      </c>
      <c r="P183" s="104">
        <f t="shared" si="43"/>
        <v>28000</v>
      </c>
      <c r="Q183" s="104">
        <f t="shared" si="44"/>
        <v>7000</v>
      </c>
      <c r="R183" s="103"/>
      <c r="S183" s="112">
        <f t="shared" si="45"/>
        <v>70000</v>
      </c>
      <c r="T183" s="103">
        <f t="shared" ref="T183:T190" si="50">ROUND(IF(J183&gt;15000,(15000/$AA$3*I183)*12%,O183*12%)*1,0)</f>
        <v>1800</v>
      </c>
      <c r="U183" s="173">
        <v>0</v>
      </c>
      <c r="V183" s="174"/>
      <c r="W183" s="175"/>
      <c r="X183" s="104">
        <f t="shared" si="46"/>
        <v>1800</v>
      </c>
      <c r="Y183" s="112">
        <f t="shared" si="47"/>
        <v>68200</v>
      </c>
    </row>
    <row r="184" spans="1:25" ht="18" customHeight="1">
      <c r="A184" s="103" t="e">
        <f t="shared" si="49"/>
        <v>#REF!</v>
      </c>
      <c r="B184" s="105">
        <v>102046737379</v>
      </c>
      <c r="C184" s="176">
        <v>4406745508</v>
      </c>
      <c r="D184" s="176"/>
      <c r="E184" s="125" t="s">
        <v>553</v>
      </c>
      <c r="F184" s="169" t="s">
        <v>554</v>
      </c>
      <c r="G184" s="177" t="s">
        <v>555</v>
      </c>
      <c r="H184" s="109"/>
      <c r="I184" s="122">
        <v>18</v>
      </c>
      <c r="J184" s="103">
        <v>13580</v>
      </c>
      <c r="K184" s="103">
        <v>1420</v>
      </c>
      <c r="L184" s="103">
        <v>0</v>
      </c>
      <c r="M184" s="111">
        <f t="shared" si="48"/>
        <v>15000</v>
      </c>
      <c r="N184" s="103">
        <f t="shared" si="41"/>
        <v>15000</v>
      </c>
      <c r="O184" s="104">
        <f t="shared" si="42"/>
        <v>8148</v>
      </c>
      <c r="P184" s="104">
        <f t="shared" si="43"/>
        <v>852</v>
      </c>
      <c r="Q184" s="104">
        <f t="shared" si="44"/>
        <v>0</v>
      </c>
      <c r="R184" s="103"/>
      <c r="S184" s="112">
        <f t="shared" si="45"/>
        <v>9000</v>
      </c>
      <c r="T184" s="103">
        <f t="shared" si="50"/>
        <v>978</v>
      </c>
      <c r="U184" s="104">
        <f t="shared" ref="U184" si="51">ROUNDUP(S184*0.75/100,0)</f>
        <v>68</v>
      </c>
      <c r="V184" s="174"/>
      <c r="W184" s="175"/>
      <c r="X184" s="104">
        <f t="shared" si="46"/>
        <v>1046</v>
      </c>
      <c r="Y184" s="112">
        <f t="shared" si="47"/>
        <v>7954</v>
      </c>
    </row>
    <row r="185" spans="1:25" ht="18" customHeight="1">
      <c r="A185" s="103" t="e">
        <f t="shared" si="49"/>
        <v>#REF!</v>
      </c>
      <c r="B185" s="105">
        <v>102330106224</v>
      </c>
      <c r="C185" s="176" t="s">
        <v>30</v>
      </c>
      <c r="D185" s="176"/>
      <c r="E185" s="125" t="s">
        <v>556</v>
      </c>
      <c r="F185" s="169" t="s">
        <v>557</v>
      </c>
      <c r="G185" s="177" t="s">
        <v>558</v>
      </c>
      <c r="H185" s="109"/>
      <c r="I185" s="122">
        <v>10</v>
      </c>
      <c r="J185" s="103">
        <v>15000</v>
      </c>
      <c r="K185" s="103">
        <v>12000</v>
      </c>
      <c r="L185" s="103">
        <v>3000</v>
      </c>
      <c r="M185" s="111">
        <f t="shared" si="48"/>
        <v>30000</v>
      </c>
      <c r="N185" s="103">
        <f t="shared" si="41"/>
        <v>30000</v>
      </c>
      <c r="O185" s="104">
        <f t="shared" si="42"/>
        <v>5000</v>
      </c>
      <c r="P185" s="104">
        <f t="shared" si="43"/>
        <v>4000</v>
      </c>
      <c r="Q185" s="104">
        <f t="shared" si="44"/>
        <v>1000</v>
      </c>
      <c r="R185" s="103"/>
      <c r="S185" s="112">
        <f t="shared" si="45"/>
        <v>10000</v>
      </c>
      <c r="T185" s="103">
        <f t="shared" si="50"/>
        <v>600</v>
      </c>
      <c r="U185" s="173">
        <v>0</v>
      </c>
      <c r="V185" s="174"/>
      <c r="W185" s="175"/>
      <c r="X185" s="104">
        <f t="shared" si="46"/>
        <v>600</v>
      </c>
      <c r="Y185" s="112">
        <f t="shared" si="47"/>
        <v>9400</v>
      </c>
    </row>
    <row r="186" spans="1:25" ht="18" customHeight="1">
      <c r="A186" s="103" t="e">
        <f t="shared" si="49"/>
        <v>#REF!</v>
      </c>
      <c r="B186" s="105">
        <v>102105607076</v>
      </c>
      <c r="C186" s="176" t="s">
        <v>30</v>
      </c>
      <c r="D186" s="176" t="s">
        <v>43</v>
      </c>
      <c r="E186" s="125" t="s">
        <v>559</v>
      </c>
      <c r="F186" s="169" t="s">
        <v>560</v>
      </c>
      <c r="G186" s="177" t="s">
        <v>561</v>
      </c>
      <c r="H186" s="109">
        <v>1762</v>
      </c>
      <c r="I186" s="122">
        <v>25</v>
      </c>
      <c r="J186" s="103">
        <v>13580</v>
      </c>
      <c r="K186" s="103">
        <v>10000</v>
      </c>
      <c r="L186" s="103">
        <v>1420</v>
      </c>
      <c r="M186" s="111">
        <f t="shared" si="48"/>
        <v>25000</v>
      </c>
      <c r="N186" s="103">
        <f t="shared" si="41"/>
        <v>25000</v>
      </c>
      <c r="O186" s="104">
        <f t="shared" si="42"/>
        <v>11317</v>
      </c>
      <c r="P186" s="104">
        <f t="shared" si="43"/>
        <v>8333</v>
      </c>
      <c r="Q186" s="104">
        <f t="shared" si="44"/>
        <v>1183</v>
      </c>
      <c r="R186" s="103"/>
      <c r="S186" s="112">
        <f t="shared" si="45"/>
        <v>20833</v>
      </c>
      <c r="T186" s="103">
        <f t="shared" si="50"/>
        <v>1358</v>
      </c>
      <c r="U186" s="173">
        <v>0</v>
      </c>
      <c r="V186" s="174"/>
      <c r="W186" s="175"/>
      <c r="X186" s="104">
        <f t="shared" si="46"/>
        <v>1358</v>
      </c>
      <c r="Y186" s="112">
        <f t="shared" si="47"/>
        <v>19475</v>
      </c>
    </row>
    <row r="187" spans="1:25" ht="18" customHeight="1">
      <c r="A187" s="103" t="e">
        <f t="shared" si="49"/>
        <v>#REF!</v>
      </c>
      <c r="B187" s="105">
        <v>102327755326</v>
      </c>
      <c r="C187" s="176">
        <v>6725600782</v>
      </c>
      <c r="D187" s="176" t="s">
        <v>43</v>
      </c>
      <c r="E187" s="125" t="s">
        <v>562</v>
      </c>
      <c r="F187" s="169" t="s">
        <v>563</v>
      </c>
      <c r="G187" s="177" t="s">
        <v>564</v>
      </c>
      <c r="H187" s="109">
        <v>1911</v>
      </c>
      <c r="I187" s="122">
        <v>11</v>
      </c>
      <c r="J187" s="103">
        <v>13580</v>
      </c>
      <c r="K187" s="103">
        <v>1420</v>
      </c>
      <c r="L187" s="103">
        <v>0</v>
      </c>
      <c r="M187" s="111">
        <f t="shared" si="48"/>
        <v>15000</v>
      </c>
      <c r="N187" s="103">
        <f t="shared" si="41"/>
        <v>15000</v>
      </c>
      <c r="O187" s="104">
        <f t="shared" si="42"/>
        <v>4979</v>
      </c>
      <c r="P187" s="104">
        <f t="shared" si="43"/>
        <v>521</v>
      </c>
      <c r="Q187" s="104">
        <f t="shared" si="44"/>
        <v>0</v>
      </c>
      <c r="R187" s="103"/>
      <c r="S187" s="112">
        <f t="shared" si="45"/>
        <v>5500</v>
      </c>
      <c r="T187" s="103">
        <f t="shared" si="50"/>
        <v>597</v>
      </c>
      <c r="U187" s="104">
        <f t="shared" ref="U187:U190" si="52">ROUNDUP(S187*0.75/100,0)</f>
        <v>42</v>
      </c>
      <c r="V187" s="174"/>
      <c r="W187" s="175"/>
      <c r="X187" s="104">
        <f t="shared" si="46"/>
        <v>639</v>
      </c>
      <c r="Y187" s="112">
        <f t="shared" si="47"/>
        <v>4861</v>
      </c>
    </row>
    <row r="188" spans="1:25" ht="18" customHeight="1">
      <c r="A188" s="103" t="e">
        <f t="shared" si="49"/>
        <v>#REF!</v>
      </c>
      <c r="B188" s="105">
        <v>102327754961</v>
      </c>
      <c r="C188" s="176">
        <v>6725600792</v>
      </c>
      <c r="D188" s="176" t="s">
        <v>43</v>
      </c>
      <c r="E188" s="125" t="s">
        <v>565</v>
      </c>
      <c r="F188" s="169" t="s">
        <v>566</v>
      </c>
      <c r="G188" s="177" t="s">
        <v>567</v>
      </c>
      <c r="H188" s="109">
        <v>1908</v>
      </c>
      <c r="I188" s="122">
        <v>11</v>
      </c>
      <c r="J188" s="103">
        <v>13580</v>
      </c>
      <c r="K188" s="103">
        <v>1420</v>
      </c>
      <c r="L188" s="103">
        <v>0</v>
      </c>
      <c r="M188" s="111">
        <f t="shared" si="48"/>
        <v>15000</v>
      </c>
      <c r="N188" s="103">
        <f t="shared" si="41"/>
        <v>15000</v>
      </c>
      <c r="O188" s="104">
        <f t="shared" si="42"/>
        <v>4979</v>
      </c>
      <c r="P188" s="104">
        <f t="shared" si="43"/>
        <v>521</v>
      </c>
      <c r="Q188" s="104">
        <f t="shared" si="44"/>
        <v>0</v>
      </c>
      <c r="R188" s="103"/>
      <c r="S188" s="112">
        <f t="shared" si="45"/>
        <v>5500</v>
      </c>
      <c r="T188" s="103">
        <f t="shared" si="50"/>
        <v>597</v>
      </c>
      <c r="U188" s="104">
        <f t="shared" si="52"/>
        <v>42</v>
      </c>
      <c r="V188" s="174"/>
      <c r="W188" s="175"/>
      <c r="X188" s="104">
        <f t="shared" si="46"/>
        <v>639</v>
      </c>
      <c r="Y188" s="112">
        <f t="shared" si="47"/>
        <v>4861</v>
      </c>
    </row>
    <row r="189" spans="1:25" ht="18" customHeight="1">
      <c r="A189" s="103" t="e">
        <f t="shared" si="49"/>
        <v>#REF!</v>
      </c>
      <c r="B189" s="105">
        <v>102327755286</v>
      </c>
      <c r="C189" s="176">
        <v>6725600807</v>
      </c>
      <c r="D189" s="176" t="s">
        <v>43</v>
      </c>
      <c r="E189" s="125" t="s">
        <v>568</v>
      </c>
      <c r="F189" s="169" t="s">
        <v>569</v>
      </c>
      <c r="G189" s="177" t="s">
        <v>570</v>
      </c>
      <c r="H189" s="109">
        <v>1909</v>
      </c>
      <c r="I189" s="122">
        <v>11</v>
      </c>
      <c r="J189" s="103">
        <v>13580</v>
      </c>
      <c r="K189" s="103">
        <v>1420</v>
      </c>
      <c r="L189" s="103">
        <v>0</v>
      </c>
      <c r="M189" s="111">
        <f t="shared" si="48"/>
        <v>15000</v>
      </c>
      <c r="N189" s="103">
        <f t="shared" si="41"/>
        <v>15000</v>
      </c>
      <c r="O189" s="104">
        <f t="shared" si="42"/>
        <v>4979</v>
      </c>
      <c r="P189" s="104">
        <f t="shared" si="43"/>
        <v>521</v>
      </c>
      <c r="Q189" s="104">
        <f t="shared" si="44"/>
        <v>0</v>
      </c>
      <c r="R189" s="103"/>
      <c r="S189" s="112">
        <f t="shared" si="45"/>
        <v>5500</v>
      </c>
      <c r="T189" s="103">
        <f t="shared" si="50"/>
        <v>597</v>
      </c>
      <c r="U189" s="104">
        <f t="shared" si="52"/>
        <v>42</v>
      </c>
      <c r="V189" s="174"/>
      <c r="W189" s="175"/>
      <c r="X189" s="104">
        <f t="shared" si="46"/>
        <v>639</v>
      </c>
      <c r="Y189" s="112">
        <f t="shared" si="47"/>
        <v>4861</v>
      </c>
    </row>
    <row r="190" spans="1:25" ht="18" customHeight="1">
      <c r="A190" s="103" t="e">
        <f t="shared" si="49"/>
        <v>#REF!</v>
      </c>
      <c r="B190" s="105">
        <v>102101707480</v>
      </c>
      <c r="C190" s="176">
        <v>6936117908</v>
      </c>
      <c r="D190" s="176" t="s">
        <v>43</v>
      </c>
      <c r="E190" s="125" t="s">
        <v>571</v>
      </c>
      <c r="F190" s="169" t="s">
        <v>572</v>
      </c>
      <c r="G190" s="177" t="s">
        <v>573</v>
      </c>
      <c r="H190" s="109">
        <v>1910</v>
      </c>
      <c r="I190" s="122">
        <v>10</v>
      </c>
      <c r="J190" s="103">
        <v>13580</v>
      </c>
      <c r="K190" s="103">
        <v>1420</v>
      </c>
      <c r="L190" s="103">
        <v>0</v>
      </c>
      <c r="M190" s="111">
        <f t="shared" si="48"/>
        <v>15000</v>
      </c>
      <c r="N190" s="103">
        <f t="shared" si="41"/>
        <v>15000</v>
      </c>
      <c r="O190" s="104">
        <f t="shared" si="42"/>
        <v>4527</v>
      </c>
      <c r="P190" s="104">
        <f t="shared" si="43"/>
        <v>473</v>
      </c>
      <c r="Q190" s="104">
        <f t="shared" si="44"/>
        <v>0</v>
      </c>
      <c r="R190" s="103"/>
      <c r="S190" s="112">
        <f t="shared" si="45"/>
        <v>5000</v>
      </c>
      <c r="T190" s="103">
        <f t="shared" si="50"/>
        <v>543</v>
      </c>
      <c r="U190" s="104">
        <f t="shared" si="52"/>
        <v>38</v>
      </c>
      <c r="V190" s="174"/>
      <c r="W190" s="175"/>
      <c r="X190" s="104">
        <f t="shared" si="46"/>
        <v>581</v>
      </c>
      <c r="Y190" s="112">
        <f t="shared" si="47"/>
        <v>4419</v>
      </c>
    </row>
    <row r="191" spans="1:25" ht="18" customHeight="1" thickBot="1">
      <c r="A191" s="103"/>
      <c r="B191" s="105"/>
      <c r="C191" s="176"/>
      <c r="D191" s="176"/>
      <c r="E191" s="187"/>
      <c r="F191" s="169"/>
      <c r="G191" s="177"/>
      <c r="H191" s="109"/>
      <c r="I191" s="122"/>
      <c r="J191" s="103"/>
      <c r="K191" s="103"/>
      <c r="L191" s="103"/>
      <c r="M191" s="111"/>
      <c r="N191" s="103"/>
      <c r="O191" s="104"/>
      <c r="P191" s="104"/>
      <c r="Q191" s="104"/>
      <c r="R191" s="103"/>
      <c r="S191" s="112"/>
      <c r="T191" s="103"/>
      <c r="U191" s="104"/>
      <c r="V191" s="174"/>
      <c r="W191" s="175"/>
      <c r="X191" s="104"/>
      <c r="Y191" s="112"/>
    </row>
    <row r="192" spans="1:25" ht="18" customHeight="1" thickBot="1">
      <c r="A192" s="188"/>
      <c r="B192" s="155"/>
      <c r="C192" s="155"/>
      <c r="D192" s="155"/>
      <c r="E192" s="189"/>
      <c r="F192" s="188"/>
      <c r="G192" s="188"/>
      <c r="H192" s="190"/>
      <c r="I192" s="191"/>
      <c r="J192" s="159"/>
      <c r="K192" s="159"/>
      <c r="L192" s="159"/>
      <c r="M192" s="192"/>
      <c r="N192" s="193">
        <f t="shared" ref="N192:Y192" si="53">SUM(N7:N191)</f>
        <v>7178518</v>
      </c>
      <c r="O192" s="193">
        <f t="shared" si="53"/>
        <v>3880959</v>
      </c>
      <c r="P192" s="193">
        <f t="shared" si="53"/>
        <v>2591561</v>
      </c>
      <c r="Q192" s="193">
        <f t="shared" si="53"/>
        <v>560433</v>
      </c>
      <c r="R192" s="193">
        <f t="shared" si="53"/>
        <v>0</v>
      </c>
      <c r="S192" s="193">
        <f t="shared" si="53"/>
        <v>7032953</v>
      </c>
      <c r="T192" s="193">
        <f t="shared" si="53"/>
        <v>257481</v>
      </c>
      <c r="U192" s="193">
        <f t="shared" si="53"/>
        <v>9294</v>
      </c>
      <c r="V192" s="193">
        <f t="shared" si="53"/>
        <v>12000</v>
      </c>
      <c r="W192" s="193">
        <f t="shared" si="53"/>
        <v>100000</v>
      </c>
      <c r="X192" s="193">
        <f t="shared" si="53"/>
        <v>378775</v>
      </c>
      <c r="Y192" s="193">
        <f t="shared" si="53"/>
        <v>6654178</v>
      </c>
    </row>
    <row r="195" spans="25:25" ht="18" customHeight="1">
      <c r="Y195" s="199"/>
    </row>
  </sheetData>
  <mergeCells count="8">
    <mergeCell ref="A1:Y2"/>
    <mergeCell ref="A3:Y3"/>
    <mergeCell ref="A4:Y4"/>
    <mergeCell ref="B5:B6"/>
    <mergeCell ref="C5:C6"/>
    <mergeCell ref="E5:E6"/>
    <mergeCell ref="R5:R6"/>
    <mergeCell ref="T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sify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game</dc:creator>
  <cp:keywords/>
  <dc:description/>
  <cp:lastModifiedBy>Guest User</cp:lastModifiedBy>
  <cp:revision/>
  <dcterms:created xsi:type="dcterms:W3CDTF">2014-01-12T12:15:53Z</dcterms:created>
  <dcterms:modified xsi:type="dcterms:W3CDTF">2026-05-26T12:54:27Z</dcterms:modified>
  <cp:category/>
  <cp:contentStatus/>
</cp:coreProperties>
</file>